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CP1PEPF0000403C\EXCELCNV\27198d00-83f4-4cca-a2b7-72508f319a7f\"/>
    </mc:Choice>
  </mc:AlternateContent>
  <xr:revisionPtr revIDLastSave="0" documentId="8_{B0AFA86C-EE20-44C7-8D41-A5DDAB6CD84C}" xr6:coauthVersionLast="47" xr6:coauthVersionMax="47" xr10:uidLastSave="{00000000-0000-0000-0000-000000000000}"/>
  <bookViews>
    <workbookView xWindow="-60" yWindow="-60" windowWidth="15480" windowHeight="11640" firstSheet="2" xr2:uid="{CF874E74-11AD-461A-AC0A-A046A8797791}"/>
  </bookViews>
  <sheets>
    <sheet name="bases y vf" sheetId="1" r:id="rId1"/>
    <sheet name="tronco y tabique" sheetId="2" r:id="rId2"/>
    <sheet name="6º a 9º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I5" i="1"/>
  <c r="L339" i="3"/>
  <c r="M339" i="3" s="1"/>
  <c r="L325" i="3"/>
  <c r="L326" i="3"/>
  <c r="L327" i="3"/>
  <c r="V327" i="3"/>
  <c r="W327" i="3"/>
  <c r="L328" i="3"/>
  <c r="L329" i="3"/>
  <c r="L330" i="3"/>
  <c r="L331" i="3"/>
  <c r="L332" i="3"/>
  <c r="L324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02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56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08" i="3"/>
  <c r="M208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142" i="3"/>
  <c r="M142" i="3" s="1"/>
  <c r="L132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18" i="3"/>
  <c r="E298" i="3"/>
  <c r="G298" i="3"/>
  <c r="H298" i="3"/>
  <c r="E204" i="3"/>
  <c r="G204" i="3"/>
  <c r="H204" i="3"/>
  <c r="E203" i="3"/>
  <c r="E202" i="3"/>
  <c r="E201" i="3"/>
  <c r="G201" i="3"/>
  <c r="H201" i="3"/>
  <c r="G203" i="3"/>
  <c r="H203" i="3"/>
  <c r="G202" i="3"/>
  <c r="H202" i="3"/>
  <c r="G132" i="3"/>
  <c r="H132" i="3" s="1"/>
  <c r="G131" i="3"/>
  <c r="H131" i="3"/>
  <c r="G130" i="3"/>
  <c r="H130" i="3"/>
  <c r="G297" i="3"/>
  <c r="H297" i="3"/>
  <c r="G296" i="3"/>
  <c r="H296" i="3"/>
  <c r="G129" i="3"/>
  <c r="H129" i="3"/>
  <c r="G128" i="3"/>
  <c r="H128" i="3"/>
  <c r="G127" i="3"/>
  <c r="H127" i="3"/>
  <c r="G126" i="3"/>
  <c r="H126" i="3"/>
  <c r="G125" i="3"/>
  <c r="H125" i="3"/>
  <c r="G124" i="3"/>
  <c r="H124" i="3"/>
  <c r="G123" i="3"/>
  <c r="H123" i="3"/>
  <c r="G122" i="3"/>
  <c r="H122" i="3"/>
  <c r="G121" i="3"/>
  <c r="H121" i="3"/>
  <c r="G120" i="3"/>
  <c r="H120" i="3"/>
  <c r="G119" i="3"/>
  <c r="H119" i="3"/>
  <c r="G295" i="3"/>
  <c r="H295" i="3"/>
  <c r="G294" i="3"/>
  <c r="H294" i="3"/>
  <c r="G293" i="3"/>
  <c r="H293" i="3"/>
  <c r="G292" i="3"/>
  <c r="H292" i="3"/>
  <c r="G291" i="3"/>
  <c r="H291" i="3"/>
  <c r="G290" i="3"/>
  <c r="H290" i="3"/>
  <c r="G245" i="3"/>
  <c r="H245" i="3"/>
  <c r="G118" i="3"/>
  <c r="H118" i="3"/>
  <c r="G117" i="3"/>
  <c r="H117" i="3"/>
  <c r="G116" i="3"/>
  <c r="H116" i="3"/>
  <c r="G115" i="3"/>
  <c r="H115" i="3"/>
  <c r="G200" i="3"/>
  <c r="H200" i="3"/>
  <c r="G199" i="3"/>
  <c r="H199" i="3"/>
  <c r="G198" i="3"/>
  <c r="H198" i="3"/>
  <c r="G197" i="3"/>
  <c r="H197" i="3"/>
  <c r="G289" i="3"/>
  <c r="H289" i="3"/>
  <c r="G288" i="3"/>
  <c r="H288" i="3"/>
  <c r="G244" i="3"/>
  <c r="H244" i="3"/>
  <c r="G243" i="3"/>
  <c r="H243" i="3"/>
  <c r="G242" i="3"/>
  <c r="H242" i="3"/>
  <c r="G114" i="3"/>
  <c r="H114" i="3"/>
  <c r="G113" i="3"/>
  <c r="H113" i="3"/>
  <c r="G112" i="3"/>
  <c r="H112" i="3"/>
  <c r="G320" i="3"/>
  <c r="H320" i="3"/>
  <c r="G319" i="3"/>
  <c r="H319" i="3"/>
  <c r="G318" i="3"/>
  <c r="H318" i="3"/>
  <c r="G287" i="3"/>
  <c r="H287" i="3"/>
  <c r="G286" i="3"/>
  <c r="H286" i="3"/>
  <c r="G285" i="3"/>
  <c r="H285" i="3"/>
  <c r="G284" i="3"/>
  <c r="H284" i="3"/>
  <c r="G241" i="3"/>
  <c r="H241" i="3"/>
  <c r="G196" i="3"/>
  <c r="H196" i="3"/>
  <c r="G195" i="3"/>
  <c r="H195" i="3"/>
  <c r="G194" i="3"/>
  <c r="H194" i="3"/>
  <c r="G193" i="3"/>
  <c r="H193" i="3"/>
  <c r="G111" i="3"/>
  <c r="H111" i="3"/>
  <c r="G110" i="3"/>
  <c r="H110" i="3"/>
  <c r="G317" i="3"/>
  <c r="H317" i="3"/>
  <c r="G316" i="3"/>
  <c r="H316" i="3"/>
  <c r="G283" i="3"/>
  <c r="H283" i="3"/>
  <c r="G282" i="3"/>
  <c r="H282" i="3"/>
  <c r="G281" i="3"/>
  <c r="H281" i="3"/>
  <c r="G240" i="3"/>
  <c r="H240" i="3"/>
  <c r="G239" i="3"/>
  <c r="H239" i="3"/>
  <c r="G238" i="3"/>
  <c r="H238" i="3"/>
  <c r="G192" i="3"/>
  <c r="H192" i="3"/>
  <c r="G191" i="3"/>
  <c r="H191" i="3"/>
  <c r="G190" i="3"/>
  <c r="H190" i="3"/>
  <c r="G109" i="3"/>
  <c r="H109" i="3"/>
  <c r="G108" i="3"/>
  <c r="H108" i="3"/>
  <c r="G107" i="3"/>
  <c r="H107" i="3"/>
  <c r="G106" i="3"/>
  <c r="H106" i="3"/>
  <c r="G105" i="3"/>
  <c r="H105" i="3"/>
  <c r="G104" i="3"/>
  <c r="H104" i="3"/>
  <c r="G280" i="3"/>
  <c r="H280" i="3"/>
  <c r="G279" i="3"/>
  <c r="H279" i="3"/>
  <c r="G278" i="3"/>
  <c r="H278" i="3"/>
  <c r="G315" i="3"/>
  <c r="H315" i="3"/>
  <c r="G314" i="3"/>
  <c r="H314" i="3"/>
  <c r="G332" i="3"/>
  <c r="H332" i="3"/>
  <c r="G189" i="3"/>
  <c r="H189" i="3"/>
  <c r="G188" i="3"/>
  <c r="H188" i="3"/>
  <c r="G187" i="3"/>
  <c r="H187" i="3"/>
  <c r="G237" i="3"/>
  <c r="H237" i="3"/>
  <c r="G236" i="3"/>
  <c r="H236" i="3"/>
  <c r="G235" i="3"/>
  <c r="H235" i="3"/>
  <c r="G234" i="3"/>
  <c r="H234" i="3"/>
  <c r="G233" i="3"/>
  <c r="H233" i="3"/>
  <c r="G232" i="3"/>
  <c r="H232" i="3"/>
  <c r="G103" i="3"/>
  <c r="H103" i="3"/>
  <c r="G102" i="3"/>
  <c r="H102" i="3"/>
  <c r="G101" i="3"/>
  <c r="H101" i="3"/>
  <c r="G100" i="3"/>
  <c r="H100" i="3"/>
  <c r="G99" i="3"/>
  <c r="H99" i="3"/>
  <c r="G98" i="3"/>
  <c r="H98" i="3"/>
  <c r="G277" i="3"/>
  <c r="H277" i="3"/>
  <c r="G276" i="3"/>
  <c r="H276" i="3"/>
  <c r="G275" i="3"/>
  <c r="H275" i="3"/>
  <c r="G97" i="3"/>
  <c r="H97" i="3"/>
  <c r="G313" i="3"/>
  <c r="H313" i="3"/>
  <c r="G96" i="3"/>
  <c r="H96" i="3"/>
  <c r="G95" i="3"/>
  <c r="H95" i="3"/>
  <c r="G94" i="3"/>
  <c r="H94" i="3"/>
  <c r="G231" i="3"/>
  <c r="H231" i="3"/>
  <c r="G230" i="3"/>
  <c r="H230" i="3"/>
  <c r="G229" i="3"/>
  <c r="H229" i="3"/>
  <c r="G93" i="3"/>
  <c r="H93" i="3"/>
  <c r="G228" i="3"/>
  <c r="H228" i="3"/>
  <c r="G186" i="3"/>
  <c r="H186" i="3"/>
  <c r="G185" i="3"/>
  <c r="H185" i="3"/>
  <c r="G184" i="3"/>
  <c r="H184" i="3"/>
  <c r="G183" i="3"/>
  <c r="H183" i="3"/>
  <c r="G274" i="3"/>
  <c r="H274" i="3"/>
  <c r="G92" i="3"/>
  <c r="H92" i="3"/>
  <c r="G91" i="3"/>
  <c r="H91" i="3"/>
  <c r="G90" i="3"/>
  <c r="H90" i="3"/>
  <c r="G89" i="3"/>
  <c r="H89" i="3" s="1"/>
  <c r="G88" i="3"/>
  <c r="H88" i="3"/>
  <c r="G87" i="3"/>
  <c r="H87" i="3"/>
  <c r="G273" i="3"/>
  <c r="H273" i="3"/>
  <c r="G272" i="3"/>
  <c r="H272" i="3"/>
  <c r="G261" i="3"/>
  <c r="H261" i="3"/>
  <c r="G260" i="3"/>
  <c r="H260" i="3"/>
  <c r="G54" i="3"/>
  <c r="H54" i="3" s="1"/>
  <c r="G53" i="3"/>
  <c r="H53" i="3" s="1"/>
  <c r="G52" i="3"/>
  <c r="H52" i="3" s="1"/>
  <c r="G51" i="3"/>
  <c r="H51" i="3" s="1"/>
  <c r="G86" i="3"/>
  <c r="H86" i="3"/>
  <c r="G85" i="3"/>
  <c r="H85" i="3"/>
  <c r="G271" i="3"/>
  <c r="H271" i="3"/>
  <c r="G84" i="3"/>
  <c r="H84" i="3"/>
  <c r="G83" i="3"/>
  <c r="H83" i="3"/>
  <c r="G270" i="3"/>
  <c r="H270" i="3"/>
  <c r="G182" i="3"/>
  <c r="H182" i="3"/>
  <c r="G181" i="3"/>
  <c r="H181" i="3"/>
  <c r="G180" i="3"/>
  <c r="H180" i="3"/>
  <c r="G179" i="3"/>
  <c r="H179" i="3"/>
  <c r="G269" i="3"/>
  <c r="H269" i="3"/>
  <c r="G268" i="3"/>
  <c r="H268" i="3"/>
  <c r="G82" i="3"/>
  <c r="H82" i="3"/>
  <c r="G178" i="3"/>
  <c r="H178" i="3"/>
  <c r="G177" i="3"/>
  <c r="H177" i="3"/>
  <c r="G176" i="3"/>
  <c r="H176" i="3"/>
  <c r="G81" i="3"/>
  <c r="H81" i="3"/>
  <c r="G80" i="3"/>
  <c r="H80" i="3"/>
  <c r="G79" i="3"/>
  <c r="H79" i="3"/>
  <c r="G78" i="3"/>
  <c r="H78" i="3"/>
  <c r="G77" i="3"/>
  <c r="H77" i="3"/>
  <c r="G312" i="3"/>
  <c r="H312" i="3"/>
  <c r="G76" i="3"/>
  <c r="H76" i="3"/>
  <c r="G175" i="3"/>
  <c r="H175" i="3"/>
  <c r="G75" i="3"/>
  <c r="H75" i="3"/>
  <c r="G74" i="3"/>
  <c r="H74" i="3"/>
  <c r="G73" i="3"/>
  <c r="H73" i="3"/>
  <c r="G72" i="3"/>
  <c r="H72" i="3"/>
  <c r="G267" i="3"/>
  <c r="H267" i="3"/>
  <c r="G227" i="3"/>
  <c r="H227" i="3"/>
  <c r="G311" i="3"/>
  <c r="H311" i="3"/>
  <c r="G174" i="3"/>
  <c r="H174" i="3"/>
  <c r="G173" i="3"/>
  <c r="H173" i="3"/>
  <c r="G71" i="3"/>
  <c r="H71" i="3"/>
  <c r="G266" i="3"/>
  <c r="H266" i="3"/>
  <c r="G226" i="3"/>
  <c r="H226" i="3"/>
  <c r="G172" i="3"/>
  <c r="H172" i="3"/>
  <c r="G70" i="3"/>
  <c r="H70" i="3"/>
  <c r="G225" i="3"/>
  <c r="H225" i="3"/>
  <c r="G265" i="3"/>
  <c r="H265" i="3"/>
  <c r="G69" i="3"/>
  <c r="H69" i="3"/>
  <c r="G68" i="3"/>
  <c r="H68" i="3"/>
  <c r="G264" i="3"/>
  <c r="H264" i="3"/>
  <c r="G310" i="3"/>
  <c r="H310" i="3"/>
  <c r="G171" i="3"/>
  <c r="H171" i="3"/>
  <c r="G67" i="3"/>
  <c r="H67" i="3"/>
  <c r="G224" i="3"/>
  <c r="H224" i="3"/>
  <c r="G66" i="3"/>
  <c r="H66" i="3"/>
  <c r="G170" i="3"/>
  <c r="H170" i="3"/>
  <c r="G263" i="3"/>
  <c r="H263" i="3"/>
  <c r="G65" i="3"/>
  <c r="H65" i="3"/>
  <c r="G309" i="3"/>
  <c r="H309" i="3"/>
  <c r="G331" i="3"/>
  <c r="H331" i="3"/>
  <c r="G169" i="3"/>
  <c r="H169" i="3"/>
  <c r="G64" i="3"/>
  <c r="H64" i="3"/>
  <c r="G168" i="3"/>
  <c r="H168" i="3"/>
  <c r="G167" i="3"/>
  <c r="H167" i="3"/>
  <c r="G63" i="3"/>
  <c r="H63" i="3"/>
  <c r="G166" i="3"/>
  <c r="H166" i="3"/>
  <c r="G165" i="3"/>
  <c r="H165" i="3"/>
  <c r="G62" i="3"/>
  <c r="H62" i="3"/>
  <c r="G223" i="3"/>
  <c r="H223" i="3"/>
  <c r="G222" i="3"/>
  <c r="H222" i="3"/>
  <c r="G61" i="3"/>
  <c r="H61" i="3"/>
  <c r="G60" i="3"/>
  <c r="H60" i="3"/>
  <c r="G221" i="3"/>
  <c r="H221" i="3"/>
  <c r="G220" i="3"/>
  <c r="H220" i="3"/>
  <c r="G262" i="3"/>
  <c r="H262" i="3"/>
  <c r="G164" i="3"/>
  <c r="H164" i="3"/>
  <c r="G59" i="3"/>
  <c r="H59" i="3"/>
  <c r="G58" i="3"/>
  <c r="H58" i="3"/>
  <c r="G57" i="3"/>
  <c r="H57" i="3"/>
  <c r="G219" i="3"/>
  <c r="H219" i="3"/>
  <c r="G330" i="3"/>
  <c r="H330" i="3"/>
  <c r="G163" i="3"/>
  <c r="H163" i="3"/>
  <c r="G329" i="3"/>
  <c r="H329" i="3"/>
  <c r="G162" i="3"/>
  <c r="H162" i="3"/>
  <c r="G161" i="3"/>
  <c r="H161" i="3"/>
  <c r="G218" i="3"/>
  <c r="H218" i="3"/>
  <c r="E50" i="3"/>
  <c r="G50" i="3"/>
  <c r="H50" i="3"/>
  <c r="E49" i="3"/>
  <c r="G49" i="3"/>
  <c r="H49" i="3"/>
  <c r="E48" i="3"/>
  <c r="G48" i="3"/>
  <c r="H48" i="3"/>
  <c r="E47" i="3"/>
  <c r="G47" i="3"/>
  <c r="H47" i="3"/>
  <c r="E46" i="3"/>
  <c r="G46" i="3"/>
  <c r="H46" i="3"/>
  <c r="G160" i="3"/>
  <c r="H160" i="3"/>
  <c r="E45" i="3"/>
  <c r="G45" i="3"/>
  <c r="H45" i="3"/>
  <c r="E44" i="3"/>
  <c r="G44" i="3"/>
  <c r="H44" i="3"/>
  <c r="E43" i="3"/>
  <c r="G43" i="3"/>
  <c r="H43" i="3"/>
  <c r="E42" i="3"/>
  <c r="G42" i="3"/>
  <c r="H42" i="3"/>
  <c r="E217" i="3"/>
  <c r="G217" i="3"/>
  <c r="H217" i="3"/>
  <c r="P259" i="3"/>
  <c r="E259" i="3"/>
  <c r="P258" i="3"/>
  <c r="E258" i="3"/>
  <c r="E41" i="3"/>
  <c r="G41" i="3"/>
  <c r="H41" i="3"/>
  <c r="E40" i="3"/>
  <c r="G40" i="3"/>
  <c r="H40" i="3"/>
  <c r="E216" i="3"/>
  <c r="G216" i="3"/>
  <c r="H216" i="3"/>
  <c r="P308" i="3"/>
  <c r="G308" i="3"/>
  <c r="H308" i="3"/>
  <c r="E39" i="3"/>
  <c r="G39" i="3"/>
  <c r="H39" i="3"/>
  <c r="G159" i="3"/>
  <c r="H159" i="3"/>
  <c r="E38" i="3"/>
  <c r="G38" i="3"/>
  <c r="H38" i="3"/>
  <c r="E37" i="3"/>
  <c r="G37" i="3"/>
  <c r="H37" i="3"/>
  <c r="P307" i="3"/>
  <c r="G307" i="3"/>
  <c r="H307" i="3"/>
  <c r="E215" i="3"/>
  <c r="G215" i="3"/>
  <c r="H215" i="3"/>
  <c r="E325" i="3"/>
  <c r="G158" i="3"/>
  <c r="H158" i="3"/>
  <c r="E36" i="3"/>
  <c r="G36" i="3"/>
  <c r="H36" i="3"/>
  <c r="P257" i="3"/>
  <c r="E257" i="3"/>
  <c r="G157" i="3"/>
  <c r="H157" i="3"/>
  <c r="G156" i="3"/>
  <c r="H156" i="3"/>
  <c r="E35" i="3"/>
  <c r="G35" i="3"/>
  <c r="H35" i="3"/>
  <c r="E34" i="3"/>
  <c r="G34" i="3"/>
  <c r="H34" i="3"/>
  <c r="E33" i="3"/>
  <c r="G33" i="3"/>
  <c r="H33" i="3"/>
  <c r="P306" i="3"/>
  <c r="G306" i="3"/>
  <c r="H306" i="3"/>
  <c r="G155" i="3"/>
  <c r="H155" i="3"/>
  <c r="E32" i="3"/>
  <c r="G32" i="3"/>
  <c r="H32" i="3"/>
  <c r="E31" i="3"/>
  <c r="G31" i="3"/>
  <c r="H31" i="3"/>
  <c r="G154" i="3"/>
  <c r="H154" i="3"/>
  <c r="E214" i="3"/>
  <c r="G214" i="3"/>
  <c r="H214" i="3"/>
  <c r="E213" i="3"/>
  <c r="G213" i="3"/>
  <c r="H213" i="3"/>
  <c r="G305" i="3"/>
  <c r="H305" i="3"/>
  <c r="E339" i="3"/>
  <c r="G153" i="3"/>
  <c r="H153" i="3"/>
  <c r="E30" i="3"/>
  <c r="G30" i="3"/>
  <c r="H30" i="3"/>
  <c r="G152" i="3"/>
  <c r="H152" i="3"/>
  <c r="G151" i="3"/>
  <c r="H151" i="3"/>
  <c r="E29" i="3"/>
  <c r="G29" i="3"/>
  <c r="H29" i="3"/>
  <c r="G150" i="3"/>
  <c r="H150" i="3"/>
  <c r="G149" i="3"/>
  <c r="H149" i="3"/>
  <c r="E28" i="3"/>
  <c r="G28" i="3"/>
  <c r="H28" i="3"/>
  <c r="E212" i="3"/>
  <c r="G212" i="3"/>
  <c r="H212" i="3"/>
  <c r="G148" i="3"/>
  <c r="H148" i="3"/>
  <c r="E27" i="3"/>
  <c r="G27" i="3"/>
  <c r="H27" i="3"/>
  <c r="E211" i="3"/>
  <c r="G304" i="3"/>
  <c r="H304" i="3"/>
  <c r="X304" i="3"/>
  <c r="G147" i="3"/>
  <c r="H147" i="3"/>
  <c r="E26" i="3"/>
  <c r="G26" i="3"/>
  <c r="H26" i="3"/>
  <c r="G303" i="3"/>
  <c r="H303" i="3"/>
  <c r="G146" i="3"/>
  <c r="H146" i="3"/>
  <c r="F210" i="3"/>
  <c r="E210" i="3"/>
  <c r="G210" i="3" s="1"/>
  <c r="H210" i="3" s="1"/>
  <c r="E25" i="3"/>
  <c r="G25" i="3"/>
  <c r="H25" i="3"/>
  <c r="G145" i="3"/>
  <c r="H145" i="3"/>
  <c r="G144" i="3"/>
  <c r="H144" i="3"/>
  <c r="G143" i="3"/>
  <c r="H143" i="3" s="1"/>
  <c r="E24" i="3"/>
  <c r="G24" i="3"/>
  <c r="H24" i="3"/>
  <c r="F324" i="3"/>
  <c r="E324" i="3"/>
  <c r="G324" i="3" s="1"/>
  <c r="H324" i="3" s="1"/>
  <c r="X324" i="3" s="1"/>
  <c r="Y324" i="3" s="1"/>
  <c r="Z324" i="3" s="1"/>
  <c r="F142" i="3"/>
  <c r="F209" i="3"/>
  <c r="E209" i="3"/>
  <c r="G209" i="3" s="1"/>
  <c r="H209" i="3" s="1"/>
  <c r="F208" i="3"/>
  <c r="G339" i="3"/>
  <c r="H339" i="3"/>
  <c r="G211" i="3"/>
  <c r="H211" i="3"/>
  <c r="V328" i="3"/>
  <c r="W328" i="3"/>
  <c r="P328" i="3"/>
  <c r="X328" i="3"/>
  <c r="Y328" i="3"/>
  <c r="Z328" i="3"/>
  <c r="P326" i="3"/>
  <c r="P324" i="3"/>
  <c r="P305" i="3"/>
  <c r="V304" i="3"/>
  <c r="W304" i="3"/>
  <c r="P304" i="3"/>
  <c r="Y304" i="3"/>
  <c r="Z304" i="3"/>
  <c r="P303" i="3"/>
  <c r="P302" i="3"/>
  <c r="E302" i="3"/>
  <c r="P256" i="3"/>
  <c r="E256" i="3"/>
  <c r="P208" i="3"/>
  <c r="E208" i="3"/>
  <c r="G208" i="3"/>
  <c r="H208" i="3"/>
  <c r="M206" i="3"/>
  <c r="P147" i="3"/>
  <c r="P145" i="3"/>
  <c r="P144" i="3"/>
  <c r="P143" i="3"/>
  <c r="P142" i="3"/>
  <c r="E142" i="3"/>
  <c r="G142" i="3"/>
  <c r="H142" i="3"/>
  <c r="P141" i="3"/>
  <c r="O24" i="3"/>
  <c r="P23" i="3"/>
  <c r="P22" i="3"/>
  <c r="I22" i="3"/>
  <c r="E22" i="3"/>
  <c r="P21" i="3"/>
  <c r="I21" i="3"/>
  <c r="E21" i="3"/>
  <c r="G21" i="3"/>
  <c r="H21" i="3"/>
  <c r="P20" i="3"/>
  <c r="I20" i="3"/>
  <c r="E20" i="3"/>
  <c r="K20" i="3" s="1"/>
  <c r="G20" i="3"/>
  <c r="H20" i="3"/>
  <c r="P19" i="3"/>
  <c r="G19" i="3"/>
  <c r="H19" i="3" s="1"/>
  <c r="V18" i="3"/>
  <c r="W18" i="3"/>
  <c r="P18" i="3"/>
  <c r="I18" i="3"/>
  <c r="E18" i="3"/>
  <c r="V17" i="3"/>
  <c r="W17" i="3" s="1"/>
  <c r="I17" i="3"/>
  <c r="E17" i="3"/>
  <c r="G17" i="3"/>
  <c r="H17" i="3"/>
  <c r="X17" i="3"/>
  <c r="Y17" i="3"/>
  <c r="Z17" i="3"/>
  <c r="V16" i="3"/>
  <c r="W16" i="3" s="1"/>
  <c r="I16" i="3"/>
  <c r="E16" i="3"/>
  <c r="G16" i="3"/>
  <c r="H16" i="3"/>
  <c r="X16" i="3"/>
  <c r="Y16" i="3"/>
  <c r="Z16" i="3"/>
  <c r="V15" i="3"/>
  <c r="W15" i="3"/>
  <c r="I15" i="3"/>
  <c r="E15" i="3"/>
  <c r="K15" i="3"/>
  <c r="G15" i="3"/>
  <c r="H15" i="3"/>
  <c r="X15" i="3"/>
  <c r="Y15" i="3"/>
  <c r="Z15" i="3"/>
  <c r="V14" i="3"/>
  <c r="W14" i="3"/>
  <c r="P14" i="3"/>
  <c r="I14" i="3"/>
  <c r="E14" i="3"/>
  <c r="V13" i="3"/>
  <c r="W13" i="3"/>
  <c r="P13" i="3"/>
  <c r="I13" i="3"/>
  <c r="E13" i="3"/>
  <c r="V12" i="3"/>
  <c r="W12" i="3" s="1"/>
  <c r="P12" i="3"/>
  <c r="I12" i="3"/>
  <c r="E12" i="3"/>
  <c r="G12" i="3" s="1"/>
  <c r="H12" i="3" s="1"/>
  <c r="X12" i="3" s="1"/>
  <c r="Y12" i="3" s="1"/>
  <c r="Z12" i="3" s="1"/>
  <c r="K12" i="3"/>
  <c r="V11" i="3"/>
  <c r="W11" i="3"/>
  <c r="P11" i="3"/>
  <c r="I11" i="3"/>
  <c r="E11" i="3"/>
  <c r="G11" i="3"/>
  <c r="H11" i="3"/>
  <c r="X11" i="3"/>
  <c r="Y11" i="3"/>
  <c r="Z11" i="3"/>
  <c r="V10" i="3"/>
  <c r="W10" i="3" s="1"/>
  <c r="P10" i="3"/>
  <c r="I10" i="3"/>
  <c r="E10" i="3"/>
  <c r="G10" i="3" s="1"/>
  <c r="H10" i="3" s="1"/>
  <c r="X10" i="3" s="1"/>
  <c r="Y10" i="3" s="1"/>
  <c r="Z10" i="3" s="1"/>
  <c r="K10" i="3"/>
  <c r="V9" i="3"/>
  <c r="W9" i="3"/>
  <c r="P9" i="3"/>
  <c r="I9" i="3"/>
  <c r="E9" i="3"/>
  <c r="G9" i="3"/>
  <c r="H9" i="3"/>
  <c r="X9" i="3"/>
  <c r="Y9" i="3"/>
  <c r="Z9" i="3"/>
  <c r="V8" i="3"/>
  <c r="W8" i="3"/>
  <c r="P8" i="3"/>
  <c r="I8" i="3"/>
  <c r="E8" i="3"/>
  <c r="P7" i="3"/>
  <c r="F7" i="3"/>
  <c r="I7" i="3"/>
  <c r="E7" i="3"/>
  <c r="K7" i="3"/>
  <c r="P6" i="3"/>
  <c r="F6" i="3"/>
  <c r="I6" i="3"/>
  <c r="E6" i="3"/>
  <c r="K6" i="3" s="1"/>
  <c r="V5" i="3"/>
  <c r="W5" i="3"/>
  <c r="I5" i="3"/>
  <c r="E5" i="3"/>
  <c r="M83" i="2"/>
  <c r="M72" i="2"/>
  <c r="M59" i="2"/>
  <c r="P58" i="2"/>
  <c r="P57" i="2"/>
  <c r="M41" i="2"/>
  <c r="M47" i="2" s="1"/>
  <c r="P39" i="2"/>
  <c r="P37" i="2"/>
  <c r="P36" i="2"/>
  <c r="P35" i="2"/>
  <c r="P33" i="2"/>
  <c r="O24" i="2"/>
  <c r="P23" i="2"/>
  <c r="I20" i="2"/>
  <c r="M24" i="2"/>
  <c r="E58" i="2"/>
  <c r="P22" i="2"/>
  <c r="I22" i="2"/>
  <c r="E22" i="2"/>
  <c r="K22" i="2"/>
  <c r="I21" i="2"/>
  <c r="P21" i="2"/>
  <c r="E21" i="2"/>
  <c r="G21" i="2"/>
  <c r="H21" i="2"/>
  <c r="E71" i="2"/>
  <c r="K71" i="2"/>
  <c r="E70" i="2"/>
  <c r="K70" i="2"/>
  <c r="E57" i="2"/>
  <c r="K57" i="2"/>
  <c r="E40" i="2"/>
  <c r="K40" i="2"/>
  <c r="I39" i="2"/>
  <c r="E39" i="2"/>
  <c r="K39" i="2"/>
  <c r="D38" i="2"/>
  <c r="E38" i="2"/>
  <c r="K38" i="2"/>
  <c r="E69" i="2"/>
  <c r="G69" i="2"/>
  <c r="H69" i="2"/>
  <c r="K69" i="2"/>
  <c r="E37" i="2"/>
  <c r="K37" i="2"/>
  <c r="E35" i="2"/>
  <c r="K35" i="2"/>
  <c r="P69" i="2"/>
  <c r="E20" i="2"/>
  <c r="K20" i="2"/>
  <c r="P20" i="2"/>
  <c r="G20" i="2"/>
  <c r="H20" i="2"/>
  <c r="P68" i="2"/>
  <c r="E68" i="2"/>
  <c r="K68" i="2"/>
  <c r="P19" i="2"/>
  <c r="G19" i="2"/>
  <c r="H19" i="2"/>
  <c r="P34" i="2"/>
  <c r="E34" i="2"/>
  <c r="G34" i="2"/>
  <c r="H34" i="2"/>
  <c r="P49" i="2"/>
  <c r="E49" i="2"/>
  <c r="K49" i="2"/>
  <c r="P18" i="2"/>
  <c r="V18" i="2"/>
  <c r="W18" i="2"/>
  <c r="I18" i="2"/>
  <c r="E18" i="2"/>
  <c r="G18" i="2"/>
  <c r="H18" i="2"/>
  <c r="X18" i="2"/>
  <c r="Y18" i="2"/>
  <c r="Z18" i="2"/>
  <c r="P82" i="2"/>
  <c r="E82" i="2"/>
  <c r="V82" i="2"/>
  <c r="W82" i="2"/>
  <c r="V17" i="2"/>
  <c r="W17" i="2"/>
  <c r="I17" i="2"/>
  <c r="E17" i="2"/>
  <c r="K17" i="2"/>
  <c r="V16" i="2"/>
  <c r="W16" i="2"/>
  <c r="I16" i="2"/>
  <c r="E16" i="2"/>
  <c r="G16" i="2"/>
  <c r="H16" i="2"/>
  <c r="X16" i="2"/>
  <c r="Y16" i="2"/>
  <c r="Z16" i="2"/>
  <c r="P67" i="2"/>
  <c r="V67" i="2"/>
  <c r="W67" i="2"/>
  <c r="E67" i="2"/>
  <c r="K67" i="2"/>
  <c r="V15" i="2"/>
  <c r="W15" i="2"/>
  <c r="I15" i="2"/>
  <c r="E15" i="2"/>
  <c r="K15" i="2"/>
  <c r="V14" i="2"/>
  <c r="W14" i="2"/>
  <c r="P14" i="2"/>
  <c r="I14" i="2"/>
  <c r="E14" i="2"/>
  <c r="K14" i="2"/>
  <c r="E81" i="2"/>
  <c r="V81" i="2"/>
  <c r="W81" i="2"/>
  <c r="V13" i="2"/>
  <c r="W13" i="2"/>
  <c r="P13" i="2"/>
  <c r="I13" i="2"/>
  <c r="E13" i="2"/>
  <c r="K13" i="2"/>
  <c r="V12" i="2"/>
  <c r="W12" i="2"/>
  <c r="P12" i="2"/>
  <c r="I12" i="2"/>
  <c r="E12" i="2"/>
  <c r="K12" i="2"/>
  <c r="P56" i="2"/>
  <c r="E56" i="2"/>
  <c r="K56" i="2"/>
  <c r="V10" i="2"/>
  <c r="W10" i="2"/>
  <c r="V11" i="2"/>
  <c r="W11" i="2"/>
  <c r="P11" i="2"/>
  <c r="I11" i="2"/>
  <c r="E11" i="2"/>
  <c r="K11" i="2"/>
  <c r="P10" i="2"/>
  <c r="I10" i="2"/>
  <c r="E10" i="2"/>
  <c r="K10" i="2"/>
  <c r="P80" i="2"/>
  <c r="E80" i="2"/>
  <c r="V80" i="2"/>
  <c r="W80" i="2"/>
  <c r="P8" i="2"/>
  <c r="P9" i="2"/>
  <c r="V9" i="2"/>
  <c r="W9" i="2"/>
  <c r="I9" i="2"/>
  <c r="E9" i="2"/>
  <c r="K9" i="2"/>
  <c r="V8" i="2"/>
  <c r="W8" i="2"/>
  <c r="I8" i="2"/>
  <c r="E8" i="2"/>
  <c r="K8" i="2"/>
  <c r="P66" i="2"/>
  <c r="E66" i="2"/>
  <c r="G66" i="2"/>
  <c r="H66" i="2"/>
  <c r="K66" i="2"/>
  <c r="P65" i="2"/>
  <c r="P72" i="2" s="1"/>
  <c r="E65" i="2"/>
  <c r="K65" i="2"/>
  <c r="P7" i="2"/>
  <c r="F7" i="2"/>
  <c r="I7" i="2"/>
  <c r="E7" i="2"/>
  <c r="K7" i="2"/>
  <c r="P6" i="2"/>
  <c r="P24" i="2"/>
  <c r="F6" i="2"/>
  <c r="I6" i="2"/>
  <c r="E6" i="2"/>
  <c r="K6" i="2"/>
  <c r="P79" i="2"/>
  <c r="E79" i="2"/>
  <c r="K79" i="2"/>
  <c r="P78" i="2"/>
  <c r="P86" i="2" s="1"/>
  <c r="E78" i="2"/>
  <c r="V78" i="2"/>
  <c r="W78" i="2"/>
  <c r="V5" i="2"/>
  <c r="W5" i="2"/>
  <c r="I5" i="2"/>
  <c r="E5" i="2"/>
  <c r="G5" i="2"/>
  <c r="H5" i="2"/>
  <c r="X5" i="2"/>
  <c r="Y5" i="2"/>
  <c r="Z5" i="2"/>
  <c r="E5" i="1"/>
  <c r="G5" i="1"/>
  <c r="H5" i="1"/>
  <c r="X5" i="1"/>
  <c r="Y5" i="1"/>
  <c r="Z5" i="1"/>
  <c r="O5" i="1"/>
  <c r="P5" i="1"/>
  <c r="V5" i="1"/>
  <c r="W5" i="1"/>
  <c r="E6" i="1"/>
  <c r="G6" i="1"/>
  <c r="H6" i="1"/>
  <c r="X6" i="1"/>
  <c r="Y6" i="1"/>
  <c r="Z6" i="1"/>
  <c r="I6" i="1"/>
  <c r="K6" i="1"/>
  <c r="P6" i="1"/>
  <c r="V6" i="1"/>
  <c r="W6" i="1"/>
  <c r="M80" i="1"/>
  <c r="M82" i="1" s="1"/>
  <c r="P79" i="1"/>
  <c r="P78" i="1"/>
  <c r="P77" i="1"/>
  <c r="P76" i="1"/>
  <c r="P75" i="1"/>
  <c r="P74" i="1"/>
  <c r="P73" i="1"/>
  <c r="P80" i="1" s="1"/>
  <c r="Q80" i="1" s="1"/>
  <c r="M69" i="1"/>
  <c r="M72" i="1" s="1"/>
  <c r="P68" i="1"/>
  <c r="P67" i="1"/>
  <c r="P66" i="1"/>
  <c r="P65" i="1"/>
  <c r="P69" i="1" s="1"/>
  <c r="Q69" i="1" s="1"/>
  <c r="M62" i="1"/>
  <c r="P61" i="1"/>
  <c r="P60" i="1"/>
  <c r="P59" i="1"/>
  <c r="N57" i="1"/>
  <c r="P58" i="1"/>
  <c r="P57" i="1"/>
  <c r="M52" i="1"/>
  <c r="P51" i="1"/>
  <c r="P49" i="1"/>
  <c r="P48" i="1"/>
  <c r="P46" i="1"/>
  <c r="P47" i="1"/>
  <c r="P44" i="1"/>
  <c r="P43" i="1"/>
  <c r="M38" i="1"/>
  <c r="P37" i="1"/>
  <c r="P36" i="1"/>
  <c r="O35" i="1"/>
  <c r="P35" i="1"/>
  <c r="P31" i="1"/>
  <c r="P32" i="1"/>
  <c r="O30" i="1"/>
  <c r="P30" i="1"/>
  <c r="O27" i="1"/>
  <c r="P27" i="1"/>
  <c r="M20" i="1"/>
  <c r="P19" i="1"/>
  <c r="Q19" i="1"/>
  <c r="P18" i="1"/>
  <c r="Q18" i="1"/>
  <c r="P17" i="1"/>
  <c r="Q17" i="1"/>
  <c r="P16" i="1"/>
  <c r="P15" i="1"/>
  <c r="Q15" i="1"/>
  <c r="P14" i="1"/>
  <c r="Q14" i="1"/>
  <c r="P13" i="1"/>
  <c r="P7" i="1"/>
  <c r="P8" i="1"/>
  <c r="P9" i="1"/>
  <c r="V19" i="1"/>
  <c r="W19" i="1"/>
  <c r="E19" i="1"/>
  <c r="K19" i="1"/>
  <c r="V18" i="1"/>
  <c r="W18" i="1"/>
  <c r="I18" i="1"/>
  <c r="E18" i="1"/>
  <c r="K18" i="1"/>
  <c r="V17" i="1"/>
  <c r="W17" i="1"/>
  <c r="I17" i="1"/>
  <c r="E17" i="1"/>
  <c r="K17" i="1"/>
  <c r="E79" i="1"/>
  <c r="G79" i="1"/>
  <c r="H79" i="1"/>
  <c r="E78" i="1"/>
  <c r="V78" i="1"/>
  <c r="W78" i="1"/>
  <c r="V16" i="1"/>
  <c r="W16" i="1"/>
  <c r="I16" i="1"/>
  <c r="E16" i="1"/>
  <c r="K16" i="1"/>
  <c r="E77" i="1"/>
  <c r="V77" i="1"/>
  <c r="W77" i="1"/>
  <c r="E76" i="1"/>
  <c r="V76" i="1"/>
  <c r="W76" i="1"/>
  <c r="V15" i="1"/>
  <c r="W15" i="1"/>
  <c r="I15" i="1"/>
  <c r="E15" i="1"/>
  <c r="G15" i="1"/>
  <c r="H15" i="1"/>
  <c r="X15" i="1"/>
  <c r="Y15" i="1"/>
  <c r="Z15" i="1"/>
  <c r="E75" i="1"/>
  <c r="G75" i="1"/>
  <c r="H75" i="1"/>
  <c r="V14" i="1"/>
  <c r="W14" i="1"/>
  <c r="I14" i="1"/>
  <c r="E14" i="1"/>
  <c r="K14" i="1"/>
  <c r="V61" i="1"/>
  <c r="W61" i="1"/>
  <c r="I61" i="1"/>
  <c r="E61" i="1"/>
  <c r="K61" i="1"/>
  <c r="V13" i="1"/>
  <c r="W13" i="1"/>
  <c r="I13" i="1"/>
  <c r="E13" i="1"/>
  <c r="K13" i="1"/>
  <c r="I51" i="1"/>
  <c r="E51" i="1"/>
  <c r="G51" i="1"/>
  <c r="H51" i="1"/>
  <c r="V12" i="1"/>
  <c r="W12" i="1"/>
  <c r="I12" i="1"/>
  <c r="E12" i="1"/>
  <c r="K12" i="1"/>
  <c r="I50" i="1"/>
  <c r="E50" i="1"/>
  <c r="K50" i="1"/>
  <c r="V11" i="1"/>
  <c r="W11" i="1"/>
  <c r="I11" i="1"/>
  <c r="E11" i="1"/>
  <c r="K11" i="1"/>
  <c r="V60" i="1"/>
  <c r="W60" i="1"/>
  <c r="I60" i="1"/>
  <c r="E60" i="1"/>
  <c r="K60" i="1"/>
  <c r="V10" i="1"/>
  <c r="W10" i="1"/>
  <c r="I10" i="1"/>
  <c r="E10" i="1"/>
  <c r="K10" i="1"/>
  <c r="E68" i="1"/>
  <c r="V68" i="1"/>
  <c r="W68" i="1"/>
  <c r="V9" i="1"/>
  <c r="W9" i="1"/>
  <c r="I9" i="1"/>
  <c r="E9" i="1"/>
  <c r="K9" i="1"/>
  <c r="V8" i="1"/>
  <c r="W8" i="1"/>
  <c r="I8" i="1"/>
  <c r="E8" i="1"/>
  <c r="K8" i="1"/>
  <c r="I49" i="1"/>
  <c r="E49" i="1"/>
  <c r="K49" i="1"/>
  <c r="V7" i="1"/>
  <c r="W7" i="1"/>
  <c r="I7" i="1"/>
  <c r="E7" i="1"/>
  <c r="G7" i="1"/>
  <c r="H7" i="1"/>
  <c r="X7" i="1"/>
  <c r="Y7" i="1"/>
  <c r="Z7" i="1"/>
  <c r="I37" i="1"/>
  <c r="E37" i="1"/>
  <c r="K37" i="1"/>
  <c r="I36" i="1"/>
  <c r="E36" i="1"/>
  <c r="G36" i="1"/>
  <c r="H36" i="1"/>
  <c r="I35" i="1"/>
  <c r="E35" i="1"/>
  <c r="G35" i="1"/>
  <c r="H35" i="1"/>
  <c r="I48" i="1"/>
  <c r="E48" i="1"/>
  <c r="K48" i="1"/>
  <c r="I34" i="1"/>
  <c r="E34" i="1"/>
  <c r="K34" i="1"/>
  <c r="I33" i="1"/>
  <c r="E33" i="1"/>
  <c r="K33" i="1"/>
  <c r="I32" i="1"/>
  <c r="E32" i="1"/>
  <c r="K32" i="1"/>
  <c r="I47" i="1"/>
  <c r="E47" i="1"/>
  <c r="K47" i="1"/>
  <c r="I59" i="1"/>
  <c r="E59" i="1"/>
  <c r="G59" i="1"/>
  <c r="H59" i="1"/>
  <c r="I58" i="1"/>
  <c r="E58" i="1"/>
  <c r="K58" i="1"/>
  <c r="I31" i="1"/>
  <c r="E31" i="1"/>
  <c r="K31" i="1"/>
  <c r="I46" i="1"/>
  <c r="E46" i="1"/>
  <c r="K46" i="1"/>
  <c r="I30" i="1"/>
  <c r="E30" i="1"/>
  <c r="K30" i="1"/>
  <c r="I29" i="1"/>
  <c r="E29" i="1"/>
  <c r="K29" i="1"/>
  <c r="I43" i="1"/>
  <c r="I44" i="1"/>
  <c r="I45" i="1"/>
  <c r="E45" i="1"/>
  <c r="G45" i="1"/>
  <c r="H45" i="1"/>
  <c r="I28" i="1"/>
  <c r="E28" i="1"/>
  <c r="G28" i="1"/>
  <c r="H28" i="1"/>
  <c r="E67" i="1"/>
  <c r="G67" i="1"/>
  <c r="H67" i="1"/>
  <c r="E44" i="1"/>
  <c r="K44" i="1"/>
  <c r="E43" i="1"/>
  <c r="V43" i="1"/>
  <c r="W43" i="1"/>
  <c r="V59" i="1"/>
  <c r="W59" i="1"/>
  <c r="V65" i="1"/>
  <c r="W65" i="1"/>
  <c r="V58" i="1"/>
  <c r="W58" i="1"/>
  <c r="V46" i="1"/>
  <c r="W46" i="1"/>
  <c r="V47" i="1"/>
  <c r="W47" i="1"/>
  <c r="I27" i="1"/>
  <c r="E27" i="1"/>
  <c r="K27" i="1"/>
  <c r="E66" i="1"/>
  <c r="K66" i="1"/>
  <c r="V27" i="1"/>
  <c r="W27" i="1"/>
  <c r="G32" i="1"/>
  <c r="H32" i="1"/>
  <c r="K43" i="1"/>
  <c r="X65" i="1"/>
  <c r="Y65" i="1"/>
  <c r="Z65" i="1"/>
  <c r="V67" i="1"/>
  <c r="W67" i="1"/>
  <c r="K67" i="1"/>
  <c r="K75" i="1"/>
  <c r="G18" i="1"/>
  <c r="H18" i="1"/>
  <c r="X18" i="1"/>
  <c r="Y18" i="1"/>
  <c r="Z18" i="1"/>
  <c r="G78" i="1"/>
  <c r="H78" i="1"/>
  <c r="G16" i="1"/>
  <c r="H16" i="1"/>
  <c r="X16" i="1"/>
  <c r="Y16" i="1"/>
  <c r="Z16" i="1"/>
  <c r="G76" i="1"/>
  <c r="H76" i="1"/>
  <c r="K15" i="1"/>
  <c r="G61" i="1"/>
  <c r="H61" i="1"/>
  <c r="G50" i="1"/>
  <c r="H50" i="1"/>
  <c r="G60" i="1"/>
  <c r="H60" i="1"/>
  <c r="G68" i="1"/>
  <c r="H68" i="1"/>
  <c r="G9" i="1"/>
  <c r="H9" i="1"/>
  <c r="X9" i="1"/>
  <c r="Y9" i="1"/>
  <c r="Z9" i="1"/>
  <c r="G8" i="1"/>
  <c r="H8" i="1"/>
  <c r="X8" i="1"/>
  <c r="Y8" i="1"/>
  <c r="Z8" i="1"/>
  <c r="G37" i="1"/>
  <c r="H37" i="1"/>
  <c r="V4" i="1"/>
  <c r="W4" i="1"/>
  <c r="G43" i="1"/>
  <c r="H43" i="1"/>
  <c r="X43" i="1"/>
  <c r="Y43" i="1"/>
  <c r="Z43" i="1"/>
  <c r="G33" i="1"/>
  <c r="H33" i="1"/>
  <c r="G66" i="1"/>
  <c r="H66" i="1"/>
  <c r="G46" i="1"/>
  <c r="H46" i="1"/>
  <c r="X46" i="1"/>
  <c r="Y46" i="1"/>
  <c r="Z46" i="1"/>
  <c r="X4" i="1"/>
  <c r="Y4" i="1"/>
  <c r="Z4" i="1"/>
  <c r="G30" i="1"/>
  <c r="H30" i="1"/>
  <c r="V66" i="1"/>
  <c r="W66" i="1"/>
  <c r="K59" i="1"/>
  <c r="X61" i="1"/>
  <c r="Y61" i="1"/>
  <c r="Z61" i="1"/>
  <c r="G49" i="2"/>
  <c r="H49" i="2"/>
  <c r="G8" i="2"/>
  <c r="H8" i="2"/>
  <c r="X8" i="2"/>
  <c r="Y8" i="2"/>
  <c r="Z8" i="2"/>
  <c r="G9" i="2"/>
  <c r="H9" i="2"/>
  <c r="X9" i="2"/>
  <c r="Y9" i="2"/>
  <c r="Z9" i="2"/>
  <c r="K18" i="2"/>
  <c r="G17" i="2"/>
  <c r="H17" i="2"/>
  <c r="X17" i="2"/>
  <c r="Y17" i="2"/>
  <c r="Z17" i="2"/>
  <c r="K16" i="2"/>
  <c r="G67" i="2"/>
  <c r="H67" i="2"/>
  <c r="X67" i="2"/>
  <c r="Y67" i="2"/>
  <c r="Z67" i="2"/>
  <c r="G81" i="2"/>
  <c r="H81" i="2"/>
  <c r="X81" i="2"/>
  <c r="Y81" i="2"/>
  <c r="Z81" i="2"/>
  <c r="G13" i="2"/>
  <c r="H13" i="2"/>
  <c r="X13" i="2"/>
  <c r="Y13" i="2"/>
  <c r="Z13" i="2"/>
  <c r="G12" i="2"/>
  <c r="H12" i="2"/>
  <c r="X12" i="2"/>
  <c r="Y12" i="2"/>
  <c r="Z12" i="2"/>
  <c r="G11" i="2"/>
  <c r="H11" i="2"/>
  <c r="X11" i="2"/>
  <c r="Y11" i="2"/>
  <c r="Z11" i="2"/>
  <c r="G80" i="2"/>
  <c r="H80" i="2"/>
  <c r="X80" i="2"/>
  <c r="Y80" i="2"/>
  <c r="Z80" i="2"/>
  <c r="G7" i="2"/>
  <c r="H7" i="2"/>
  <c r="K78" i="2"/>
  <c r="K5" i="2"/>
  <c r="P38" i="1"/>
  <c r="Q38" i="1"/>
  <c r="P52" i="1"/>
  <c r="Q52" i="1"/>
  <c r="P62" i="1"/>
  <c r="Q62" i="1"/>
  <c r="G47" i="1"/>
  <c r="H47" i="1"/>
  <c r="X47" i="1"/>
  <c r="Y47" i="1"/>
  <c r="Z47" i="1"/>
  <c r="G44" i="1"/>
  <c r="H44" i="1"/>
  <c r="G49" i="1"/>
  <c r="H49" i="1"/>
  <c r="G10" i="1"/>
  <c r="H10" i="1"/>
  <c r="X10" i="1"/>
  <c r="Y10" i="1"/>
  <c r="Z10" i="1"/>
  <c r="G11" i="1"/>
  <c r="H11" i="1"/>
  <c r="X11" i="1"/>
  <c r="Y11" i="1"/>
  <c r="Z11" i="1"/>
  <c r="G13" i="1"/>
  <c r="H13" i="1"/>
  <c r="X13" i="1"/>
  <c r="Y13" i="1"/>
  <c r="Z13" i="1"/>
  <c r="G14" i="1"/>
  <c r="H14" i="1"/>
  <c r="X14" i="1"/>
  <c r="Y14" i="1"/>
  <c r="Z14" i="1"/>
  <c r="K76" i="1"/>
  <c r="K77" i="1"/>
  <c r="K78" i="1"/>
  <c r="G58" i="1"/>
  <c r="H58" i="1"/>
  <c r="X58" i="1"/>
  <c r="Y58" i="1"/>
  <c r="Z58" i="1"/>
  <c r="G34" i="1"/>
  <c r="H34" i="1"/>
  <c r="X60" i="1"/>
  <c r="Y60" i="1"/>
  <c r="Z60" i="1"/>
  <c r="X76" i="1"/>
  <c r="Y76" i="1"/>
  <c r="Z76" i="1"/>
  <c r="X68" i="1"/>
  <c r="Y68" i="1"/>
  <c r="Z68" i="1"/>
  <c r="P20" i="1"/>
  <c r="Q20" i="1"/>
  <c r="G27" i="1"/>
  <c r="H27" i="1"/>
  <c r="X27" i="1"/>
  <c r="Y27" i="1"/>
  <c r="Z27" i="1"/>
  <c r="G31" i="1"/>
  <c r="H31" i="1"/>
  <c r="K28" i="1"/>
  <c r="G48" i="1"/>
  <c r="H48" i="1"/>
  <c r="K7" i="1"/>
  <c r="K68" i="1"/>
  <c r="G12" i="1"/>
  <c r="H12" i="1"/>
  <c r="X12" i="1"/>
  <c r="Y12" i="1"/>
  <c r="Z12" i="1"/>
  <c r="G77" i="1"/>
  <c r="H77" i="1"/>
  <c r="K79" i="1"/>
  <c r="G17" i="1"/>
  <c r="H17" i="1"/>
  <c r="X17" i="1"/>
  <c r="Y17" i="1"/>
  <c r="Z17" i="1"/>
  <c r="G19" i="1"/>
  <c r="H19" i="1"/>
  <c r="X19" i="1"/>
  <c r="Y19" i="1"/>
  <c r="Z19" i="1"/>
  <c r="G29" i="1"/>
  <c r="H29" i="1"/>
  <c r="V75" i="1"/>
  <c r="W75" i="1"/>
  <c r="V79" i="1"/>
  <c r="W79" i="1"/>
  <c r="X66" i="1"/>
  <c r="Y66" i="1"/>
  <c r="Z66" i="1"/>
  <c r="X78" i="1"/>
  <c r="Y78" i="1"/>
  <c r="Z78" i="1"/>
  <c r="X67" i="1"/>
  <c r="Y67" i="1"/>
  <c r="Z67" i="1"/>
  <c r="X59" i="1"/>
  <c r="Y59" i="1"/>
  <c r="Z59" i="1"/>
  <c r="X75" i="1"/>
  <c r="Y75" i="1"/>
  <c r="Z75" i="1"/>
  <c r="X79" i="1"/>
  <c r="Y79" i="1"/>
  <c r="Z79" i="1"/>
  <c r="K51" i="1"/>
  <c r="K45" i="1"/>
  <c r="K35" i="1"/>
  <c r="K36" i="1"/>
  <c r="X77" i="1"/>
  <c r="Y77" i="1"/>
  <c r="Z77" i="1"/>
  <c r="G40" i="2"/>
  <c r="H40" i="2"/>
  <c r="G39" i="2"/>
  <c r="H39" i="2"/>
  <c r="G38" i="2"/>
  <c r="H38" i="2"/>
  <c r="G79" i="2"/>
  <c r="H79" i="2"/>
  <c r="G6" i="2"/>
  <c r="H6" i="2"/>
  <c r="K80" i="2"/>
  <c r="G56" i="2"/>
  <c r="H56" i="2"/>
  <c r="G14" i="2"/>
  <c r="H14" i="2"/>
  <c r="X14" i="2"/>
  <c r="Y14" i="2"/>
  <c r="Z14" i="2"/>
  <c r="K82" i="2"/>
  <c r="G82" i="2"/>
  <c r="H82" i="2"/>
  <c r="X82" i="2"/>
  <c r="Y82" i="2"/>
  <c r="Z82" i="2"/>
  <c r="G65" i="2"/>
  <c r="H65" i="2"/>
  <c r="G78" i="2"/>
  <c r="H78" i="2"/>
  <c r="X78" i="2"/>
  <c r="Y78" i="2"/>
  <c r="Z78" i="2"/>
  <c r="G10" i="2"/>
  <c r="H10" i="2"/>
  <c r="X10" i="2"/>
  <c r="Y10" i="2"/>
  <c r="Z10" i="2"/>
  <c r="K81" i="2"/>
  <c r="G15" i="2"/>
  <c r="H15" i="2"/>
  <c r="X15" i="2"/>
  <c r="Y15" i="2"/>
  <c r="Z15" i="2"/>
  <c r="K34" i="2"/>
  <c r="G68" i="2"/>
  <c r="H68" i="2"/>
  <c r="G37" i="2"/>
  <c r="H37" i="2"/>
  <c r="G35" i="2"/>
  <c r="H35" i="2"/>
  <c r="G57" i="2"/>
  <c r="H57" i="2"/>
  <c r="K21" i="2"/>
  <c r="G22" i="2"/>
  <c r="H22" i="2"/>
  <c r="G71" i="2"/>
  <c r="H71" i="2"/>
  <c r="G70" i="2"/>
  <c r="H70" i="2"/>
  <c r="P336" i="3"/>
  <c r="G7" i="3"/>
  <c r="H7" i="3"/>
  <c r="X327" i="3"/>
  <c r="Y327" i="3"/>
  <c r="Z327" i="3"/>
  <c r="G6" i="3"/>
  <c r="H6" i="3"/>
  <c r="K9" i="3"/>
  <c r="K16" i="3"/>
  <c r="K21" i="3"/>
  <c r="V326" i="3"/>
  <c r="W326" i="3"/>
  <c r="X326" i="3"/>
  <c r="Y326" i="3"/>
  <c r="Z326" i="3"/>
  <c r="M324" i="3"/>
  <c r="M302" i="3"/>
  <c r="M256" i="3"/>
  <c r="M24" i="3"/>
  <c r="G340" i="3"/>
  <c r="H340" i="3"/>
  <c r="G5" i="3"/>
  <c r="H5" i="3"/>
  <c r="X5" i="3"/>
  <c r="Y5" i="3"/>
  <c r="Z5" i="3"/>
  <c r="K5" i="3"/>
  <c r="G8" i="3"/>
  <c r="H8" i="3"/>
  <c r="X8" i="3"/>
  <c r="Y8" i="3"/>
  <c r="Z8" i="3"/>
  <c r="K8" i="3"/>
  <c r="G13" i="3"/>
  <c r="H13" i="3"/>
  <c r="X13" i="3"/>
  <c r="Y13" i="3"/>
  <c r="Z13" i="3"/>
  <c r="K13" i="3"/>
  <c r="G14" i="3"/>
  <c r="H14" i="3"/>
  <c r="X14" i="3"/>
  <c r="Y14" i="3"/>
  <c r="Z14" i="3"/>
  <c r="K14" i="3"/>
  <c r="G18" i="3"/>
  <c r="H18" i="3"/>
  <c r="X18" i="3"/>
  <c r="Y18" i="3"/>
  <c r="Z18" i="3"/>
  <c r="K18" i="3"/>
  <c r="P24" i="3"/>
  <c r="K11" i="3"/>
  <c r="K17" i="3"/>
  <c r="K22" i="3"/>
  <c r="G22" i="3"/>
  <c r="H22" i="3"/>
  <c r="G302" i="3"/>
  <c r="H302" i="3"/>
  <c r="V324" i="3"/>
  <c r="W324" i="3"/>
  <c r="G259" i="3"/>
  <c r="H259" i="3"/>
  <c r="G258" i="3"/>
  <c r="H258" i="3"/>
  <c r="G325" i="3"/>
  <c r="H325" i="3"/>
  <c r="G257" i="3"/>
  <c r="H257" i="3"/>
  <c r="G256" i="3"/>
  <c r="H256" i="3"/>
  <c r="K58" i="2" l="1"/>
  <c r="G58" i="2"/>
  <c r="H58" i="2" s="1"/>
</calcChain>
</file>

<file path=xl/sharedStrings.xml><?xml version="1.0" encoding="utf-8"?>
<sst xmlns="http://schemas.openxmlformats.org/spreadsheetml/2006/main" count="416" uniqueCount="121">
  <si>
    <t>fi</t>
  </si>
  <si>
    <t>cantidad de elementos</t>
  </si>
  <si>
    <t>cantidad de repeticiones</t>
  </si>
  <si>
    <t>cantidad total</t>
  </si>
  <si>
    <t>medida</t>
  </si>
  <si>
    <t>cantidad directa</t>
  </si>
  <si>
    <t>cantidad x barra</t>
  </si>
  <si>
    <t>cantidad de barras</t>
  </si>
  <si>
    <t>cantidad final de barras</t>
  </si>
  <si>
    <t>longitud total</t>
  </si>
  <si>
    <t>sobrante</t>
  </si>
  <si>
    <t>unidad</t>
  </si>
  <si>
    <t>en cantidad</t>
  </si>
  <si>
    <t>RESTO TOTAL</t>
  </si>
  <si>
    <t>PLATEA</t>
  </si>
  <si>
    <t>VF</t>
  </si>
  <si>
    <t xml:space="preserve">BASE 1 </t>
  </si>
  <si>
    <t>BASE 4/14</t>
  </si>
  <si>
    <t>BASE 5</t>
  </si>
  <si>
    <t>BASE 7</t>
  </si>
  <si>
    <t>BASE 9</t>
  </si>
  <si>
    <t>BASE 10</t>
  </si>
  <si>
    <t>BASE 2</t>
  </si>
  <si>
    <t>BASE 6</t>
  </si>
  <si>
    <t>BASE 8</t>
  </si>
  <si>
    <t xml:space="preserve">BASE 2 </t>
  </si>
  <si>
    <t>BASE 3</t>
  </si>
  <si>
    <t>tronco C1</t>
  </si>
  <si>
    <t>tronco C2 / C3</t>
  </si>
  <si>
    <t>tronco c4 / C11</t>
  </si>
  <si>
    <t>tronco C5</t>
  </si>
  <si>
    <t>tronco C6</t>
  </si>
  <si>
    <t>tronco C7</t>
  </si>
  <si>
    <t>tronco C8</t>
  </si>
  <si>
    <t>tronco C9</t>
  </si>
  <si>
    <t>tronco C10</t>
  </si>
  <si>
    <t>TABIQUE T1</t>
  </si>
  <si>
    <t>Tensor 3</t>
  </si>
  <si>
    <t>Tensor 4</t>
  </si>
  <si>
    <t>TABIQUE SUB</t>
  </si>
  <si>
    <t>tronco c7</t>
  </si>
  <si>
    <t xml:space="preserve">Tensor 1 </t>
  </si>
  <si>
    <t>tronco c5</t>
  </si>
  <si>
    <t xml:space="preserve">Tensor2 </t>
  </si>
  <si>
    <t xml:space="preserve">Tensor 3 </t>
  </si>
  <si>
    <t>tronco c1</t>
  </si>
  <si>
    <t>tronco c2 / C3</t>
  </si>
  <si>
    <t>tronco c6</t>
  </si>
  <si>
    <t>tronco c8</t>
  </si>
  <si>
    <t>tronco c10</t>
  </si>
  <si>
    <t>s7º</t>
  </si>
  <si>
    <t>v504</t>
  </si>
  <si>
    <t>v505</t>
  </si>
  <si>
    <t>v506</t>
  </si>
  <si>
    <t>v508</t>
  </si>
  <si>
    <t>v509</t>
  </si>
  <si>
    <t>v510</t>
  </si>
  <si>
    <t>v522</t>
  </si>
  <si>
    <t>v525</t>
  </si>
  <si>
    <t>m523</t>
  </si>
  <si>
    <t>v526</t>
  </si>
  <si>
    <t>v528</t>
  </si>
  <si>
    <t>L501</t>
  </si>
  <si>
    <t>L502</t>
  </si>
  <si>
    <t>L503</t>
  </si>
  <si>
    <t>L504</t>
  </si>
  <si>
    <t>L505</t>
  </si>
  <si>
    <t>c2</t>
  </si>
  <si>
    <t>M601</t>
  </si>
  <si>
    <t>M604</t>
  </si>
  <si>
    <t>M605</t>
  </si>
  <si>
    <t>M607</t>
  </si>
  <si>
    <t>M609</t>
  </si>
  <si>
    <t>M610</t>
  </si>
  <si>
    <t>M611</t>
  </si>
  <si>
    <t>M620</t>
  </si>
  <si>
    <t>M622</t>
  </si>
  <si>
    <t>M623</t>
  </si>
  <si>
    <t>v624</t>
  </si>
  <si>
    <t>v625</t>
  </si>
  <si>
    <t>v627</t>
  </si>
  <si>
    <t>L601</t>
  </si>
  <si>
    <t>L603</t>
  </si>
  <si>
    <t>v701</t>
  </si>
  <si>
    <t>v702</t>
  </si>
  <si>
    <t>v704</t>
  </si>
  <si>
    <t>v705</t>
  </si>
  <si>
    <t>l705</t>
  </si>
  <si>
    <t>c701</t>
  </si>
  <si>
    <t>c105</t>
  </si>
  <si>
    <t>c3</t>
  </si>
  <si>
    <t>t01</t>
  </si>
  <si>
    <t>m401</t>
  </si>
  <si>
    <t>v405</t>
  </si>
  <si>
    <t>v406</t>
  </si>
  <si>
    <t>v408</t>
  </si>
  <si>
    <t>m409</t>
  </si>
  <si>
    <t>m422</t>
  </si>
  <si>
    <t>v421</t>
  </si>
  <si>
    <t>v314</t>
  </si>
  <si>
    <t>m220</t>
  </si>
  <si>
    <t>v450</t>
  </si>
  <si>
    <t>c10</t>
  </si>
  <si>
    <t>c4</t>
  </si>
  <si>
    <t>c6</t>
  </si>
  <si>
    <t>c207</t>
  </si>
  <si>
    <t>tab</t>
  </si>
  <si>
    <t>m501</t>
  </si>
  <si>
    <t>m505</t>
  </si>
  <si>
    <t>m506</t>
  </si>
  <si>
    <t>m508</t>
  </si>
  <si>
    <t>v511</t>
  </si>
  <si>
    <t>v520</t>
  </si>
  <si>
    <t>L605</t>
  </si>
  <si>
    <t>L622</t>
  </si>
  <si>
    <t>L601/04</t>
  </si>
  <si>
    <t>L701</t>
  </si>
  <si>
    <t>M624</t>
  </si>
  <si>
    <t>v409</t>
  </si>
  <si>
    <t>v602</t>
  </si>
  <si>
    <t>v320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</si>
</sst>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2" borderId="2" xfId="0" applyFill="1" applyBorder="1"/>
    <xf numFmtId="0" fontId="0" fillId="0" borderId="2" xfId="0" applyFill="1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0" fillId="0" borderId="3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0" xfId="0" applyFill="1" applyBorder="1"/>
    <xf numFmtId="0" fontId="2" fillId="0" borderId="0" xfId="0" applyFont="1" applyBorder="1" applyAlignment="1">
      <alignment horizontal="center" wrapText="1"/>
    </xf>
    <xf numFmtId="0" fontId="0" fillId="5" borderId="6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10" borderId="0" xfId="0" applyFill="1" applyBorder="1"/>
    <xf numFmtId="0" fontId="2" fillId="0" borderId="7" xfId="0" applyFont="1" applyBorder="1" applyAlignment="1">
      <alignment horizontal="center" wrapText="1"/>
    </xf>
    <xf numFmtId="0" fontId="3" fillId="11" borderId="7" xfId="0" applyFont="1" applyFill="1" applyBorder="1" applyAlignment="1">
      <alignment horizontal="center" wrapText="1"/>
    </xf>
    <xf numFmtId="0" fontId="4" fillId="11" borderId="8" xfId="0" applyFont="1" applyFill="1" applyBorder="1"/>
    <xf numFmtId="0" fontId="0" fillId="11" borderId="9" xfId="0" applyFill="1" applyBorder="1"/>
    <xf numFmtId="0" fontId="0" fillId="12" borderId="0" xfId="0" applyFill="1" applyBorder="1"/>
    <xf numFmtId="0" fontId="0" fillId="5" borderId="10" xfId="0" applyFill="1" applyBorder="1"/>
    <xf numFmtId="0" fontId="0" fillId="13" borderId="10" xfId="0" applyFill="1" applyBorder="1"/>
    <xf numFmtId="0" fontId="0" fillId="12" borderId="10" xfId="0" applyFill="1" applyBorder="1"/>
    <xf numFmtId="0" fontId="0" fillId="6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13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12" borderId="15" xfId="0" applyFill="1" applyBorder="1"/>
    <xf numFmtId="0" fontId="0" fillId="5" borderId="15" xfId="0" applyFill="1" applyBorder="1"/>
    <xf numFmtId="0" fontId="0" fillId="6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13" borderId="17" xfId="0" applyFill="1" applyBorder="1"/>
    <xf numFmtId="0" fontId="0" fillId="6" borderId="17" xfId="0" applyFill="1" applyBorder="1"/>
    <xf numFmtId="0" fontId="0" fillId="6" borderId="18" xfId="0" applyFill="1" applyBorder="1"/>
    <xf numFmtId="0" fontId="0" fillId="9" borderId="10" xfId="0" applyFill="1" applyBorder="1"/>
    <xf numFmtId="0" fontId="0" fillId="8" borderId="10" xfId="0" applyFill="1" applyBorder="1"/>
    <xf numFmtId="0" fontId="0" fillId="9" borderId="15" xfId="0" applyFill="1" applyBorder="1"/>
    <xf numFmtId="0" fontId="0" fillId="8" borderId="15" xfId="0" applyFill="1" applyBorder="1"/>
    <xf numFmtId="0" fontId="0" fillId="5" borderId="18" xfId="0" applyFill="1" applyBorder="1"/>
    <xf numFmtId="0" fontId="0" fillId="7" borderId="10" xfId="0" applyFill="1" applyBorder="1"/>
    <xf numFmtId="0" fontId="0" fillId="7" borderId="14" xfId="0" applyFill="1" applyBorder="1"/>
    <xf numFmtId="0" fontId="0" fillId="7" borderId="15" xfId="0" applyFill="1" applyBorder="1"/>
    <xf numFmtId="0" fontId="0" fillId="14" borderId="0" xfId="0" applyFill="1" applyBorder="1"/>
    <xf numFmtId="0" fontId="0" fillId="14" borderId="10" xfId="0" applyFill="1" applyBorder="1"/>
    <xf numFmtId="0" fontId="0" fillId="14" borderId="15" xfId="0" applyFill="1" applyBorder="1"/>
    <xf numFmtId="0" fontId="0" fillId="15" borderId="0" xfId="0" applyFill="1" applyBorder="1"/>
    <xf numFmtId="0" fontId="0" fillId="13" borderId="0" xfId="0" applyFill="1" applyBorder="1"/>
    <xf numFmtId="0" fontId="2" fillId="5" borderId="0" xfId="0" applyFont="1" applyFill="1" applyBorder="1" applyAlignment="1">
      <alignment horizontal="center" wrapText="1"/>
    </xf>
    <xf numFmtId="0" fontId="0" fillId="5" borderId="0" xfId="0" applyFill="1"/>
    <xf numFmtId="0" fontId="0" fillId="16" borderId="0" xfId="0" applyFill="1" applyBorder="1"/>
    <xf numFmtId="0" fontId="0" fillId="16" borderId="0" xfId="0" applyFill="1"/>
    <xf numFmtId="0" fontId="4" fillId="5" borderId="0" xfId="0" applyFont="1" applyFill="1" applyBorder="1"/>
    <xf numFmtId="0" fontId="3" fillId="5" borderId="0" xfId="0" applyFont="1" applyFill="1" applyBorder="1" applyAlignment="1">
      <alignment horizontal="center" wrapText="1"/>
    </xf>
    <xf numFmtId="0" fontId="0" fillId="5" borderId="19" xfId="0" applyFill="1" applyBorder="1"/>
    <xf numFmtId="0" fontId="0" fillId="17" borderId="0" xfId="0" applyFill="1" applyBorder="1"/>
    <xf numFmtId="0" fontId="0" fillId="17" borderId="10" xfId="0" applyFill="1" applyBorder="1"/>
    <xf numFmtId="0" fontId="0" fillId="17" borderId="12" xfId="0" applyFill="1" applyBorder="1"/>
    <xf numFmtId="0" fontId="0" fillId="5" borderId="24" xfId="0" applyFill="1" applyBorder="1"/>
    <xf numFmtId="0" fontId="0" fillId="5" borderId="25" xfId="0" applyFill="1" applyBorder="1"/>
    <xf numFmtId="0" fontId="0" fillId="5" borderId="26" xfId="0" applyFill="1" applyBorder="1"/>
    <xf numFmtId="0" fontId="2" fillId="12" borderId="0" xfId="0" applyFont="1" applyFill="1" applyBorder="1" applyAlignment="1">
      <alignment horizontal="center" wrapText="1"/>
    </xf>
    <xf numFmtId="0" fontId="0" fillId="12" borderId="12" xfId="0" applyFill="1" applyBorder="1"/>
    <xf numFmtId="0" fontId="0" fillId="12" borderId="6" xfId="0" applyFill="1" applyBorder="1"/>
    <xf numFmtId="0" fontId="0" fillId="18" borderId="0" xfId="0" applyFill="1" applyBorder="1"/>
    <xf numFmtId="0" fontId="0" fillId="18" borderId="10" xfId="0" applyFill="1" applyBorder="1"/>
    <xf numFmtId="0" fontId="0" fillId="18" borderId="12" xfId="0" applyFill="1" applyBorder="1"/>
    <xf numFmtId="0" fontId="2" fillId="18" borderId="0" xfId="0" applyFont="1" applyFill="1" applyBorder="1" applyAlignment="1">
      <alignment horizontal="center" wrapText="1"/>
    </xf>
    <xf numFmtId="0" fontId="0" fillId="18" borderId="6" xfId="0" applyFill="1" applyBorder="1"/>
    <xf numFmtId="0" fontId="0" fillId="18" borderId="11" xfId="0" applyFill="1" applyBorder="1"/>
    <xf numFmtId="0" fontId="0" fillId="18" borderId="13" xfId="0" applyFill="1" applyBorder="1"/>
    <xf numFmtId="0" fontId="0" fillId="18" borderId="0" xfId="0" applyFill="1"/>
    <xf numFmtId="0" fontId="0" fillId="19" borderId="0" xfId="0" applyFill="1" applyBorder="1"/>
    <xf numFmtId="0" fontId="0" fillId="19" borderId="10" xfId="0" applyFill="1" applyBorder="1"/>
    <xf numFmtId="0" fontId="0" fillId="19" borderId="12" xfId="0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13" borderId="4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A13F-CEE9-4000-BC58-AF780A794673}">
  <dimension ref="A1:Z546"/>
  <sheetViews>
    <sheetView tabSelected="1" workbookViewId="0">
      <selection activeCell="K8" sqref="K8"/>
    </sheetView>
  </sheetViews>
  <sheetFormatPr defaultColWidth="11.42578125" defaultRowHeight="12.75"/>
  <cols>
    <col min="1" max="1" width="11.42578125" style="2"/>
    <col min="2" max="2" width="11.42578125" style="3"/>
    <col min="3" max="3" width="11.42578125" style="6"/>
    <col min="4" max="4" width="11.42578125" style="2"/>
    <col min="5" max="5" width="13.28515625" style="7" customWidth="1"/>
    <col min="6" max="6" width="11.42578125" style="6"/>
    <col min="7" max="7" width="14.28515625" style="8" customWidth="1"/>
    <col min="8" max="8" width="15.42578125" style="8" customWidth="1"/>
    <col min="9" max="9" width="16" style="6" customWidth="1"/>
    <col min="10" max="10" width="15.5703125" style="4" customWidth="1"/>
    <col min="11" max="11" width="16.42578125" style="8" bestFit="1" customWidth="1"/>
    <col min="12" max="12" width="15.7109375" style="2" customWidth="1"/>
    <col min="13" max="13" width="16.85546875" style="2" customWidth="1"/>
    <col min="14" max="21" width="15.7109375" style="2" customWidth="1"/>
    <col min="22" max="22" width="16.5703125" style="2" bestFit="1" customWidth="1"/>
    <col min="23" max="23" width="13.5703125" style="2" bestFit="1" customWidth="1"/>
    <col min="24" max="24" width="0" style="2" hidden="1" customWidth="1"/>
    <col min="25" max="16384" width="11.42578125" style="2"/>
  </cols>
  <sheetData>
    <row r="1" spans="1:26" ht="13.5" thickBot="1">
      <c r="C1" s="5"/>
      <c r="D1" s="1"/>
      <c r="E1" s="3"/>
      <c r="F1" s="5"/>
      <c r="G1" s="5"/>
      <c r="H1" s="5"/>
      <c r="I1" s="5"/>
      <c r="J1" s="5"/>
      <c r="K1" s="9"/>
    </row>
    <row r="2" spans="1:26">
      <c r="B2" s="84" t="s">
        <v>0</v>
      </c>
      <c r="C2" s="86" t="s">
        <v>1</v>
      </c>
      <c r="D2" s="86" t="s">
        <v>2</v>
      </c>
      <c r="E2" s="88" t="s">
        <v>3</v>
      </c>
      <c r="F2" s="92" t="s">
        <v>4</v>
      </c>
      <c r="G2" s="82">
        <v>12</v>
      </c>
      <c r="H2" s="88" t="s">
        <v>5</v>
      </c>
      <c r="I2" s="88" t="s">
        <v>6</v>
      </c>
      <c r="J2" s="94" t="s">
        <v>6</v>
      </c>
      <c r="K2" s="88" t="s">
        <v>7</v>
      </c>
      <c r="L2" s="90" t="s">
        <v>8</v>
      </c>
      <c r="M2" s="13"/>
      <c r="N2" s="13"/>
      <c r="O2" s="13"/>
      <c r="P2" s="13"/>
      <c r="Q2" s="13"/>
      <c r="R2" s="13"/>
      <c r="S2" s="13"/>
      <c r="T2" s="13"/>
      <c r="U2" s="13"/>
    </row>
    <row r="3" spans="1:26" ht="13.5" thickBot="1">
      <c r="B3" s="85"/>
      <c r="C3" s="87"/>
      <c r="D3" s="87"/>
      <c r="E3" s="89"/>
      <c r="F3" s="93"/>
      <c r="G3" s="83" t="s">
        <v>9</v>
      </c>
      <c r="H3" s="89"/>
      <c r="I3" s="89"/>
      <c r="J3" s="95"/>
      <c r="K3" s="89"/>
      <c r="L3" s="91"/>
      <c r="M3" s="13"/>
      <c r="N3" s="13" t="s">
        <v>10</v>
      </c>
      <c r="O3" s="13" t="s">
        <v>11</v>
      </c>
      <c r="P3" s="13" t="s">
        <v>12</v>
      </c>
      <c r="Q3" s="13"/>
      <c r="R3" s="13"/>
      <c r="S3" s="13"/>
      <c r="T3" s="13"/>
      <c r="U3" s="13"/>
      <c r="W3" s="2" t="s">
        <v>13</v>
      </c>
      <c r="Y3" s="2" t="s">
        <v>13</v>
      </c>
      <c r="Z3" s="2">
        <v>12</v>
      </c>
    </row>
    <row r="4" spans="1:26" ht="13.5" thickBot="1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3"/>
      <c r="N4" s="12"/>
      <c r="O4" s="12"/>
      <c r="P4" s="12"/>
      <c r="Q4" s="12"/>
      <c r="R4" s="12"/>
      <c r="S4" s="12"/>
      <c r="T4" s="12"/>
      <c r="U4" s="12"/>
      <c r="V4" s="2" t="e">
        <f>+L4*12/F4-E4</f>
        <v>#DIV/0!</v>
      </c>
      <c r="W4" s="2" t="e">
        <f>+V4*F4</f>
        <v>#DIV/0!</v>
      </c>
      <c r="X4" s="2">
        <f t="shared" ref="X4:X19" si="0">+L4-H4</f>
        <v>0</v>
      </c>
      <c r="Y4" s="2">
        <f t="shared" ref="Y4:Y19" si="1">+X4*$G$2</f>
        <v>0</v>
      </c>
      <c r="Z4" s="2">
        <f t="shared" ref="Z4:Z19" si="2">+Y4/$Z$3</f>
        <v>0</v>
      </c>
    </row>
    <row r="5" spans="1:26">
      <c r="A5" s="2" t="s">
        <v>14</v>
      </c>
      <c r="B5" s="29">
        <v>8</v>
      </c>
      <c r="C5" s="30">
        <v>32</v>
      </c>
      <c r="D5" s="30">
        <v>1</v>
      </c>
      <c r="E5" s="30">
        <f t="shared" ref="E5:E19" si="3">+C5*D5</f>
        <v>32</v>
      </c>
      <c r="F5" s="31">
        <v>3.2</v>
      </c>
      <c r="G5" s="30">
        <f t="shared" ref="G5:G19" si="4">+F5*E5</f>
        <v>102.4</v>
      </c>
      <c r="H5" s="30">
        <f t="shared" ref="H5:H19" si="5">+G5/$G$2</f>
        <v>8.5333333333333332</v>
      </c>
      <c r="I5" s="30">
        <f>+$G$2/F5</f>
        <v>3.75</v>
      </c>
      <c r="J5" s="30">
        <v>3</v>
      </c>
      <c r="K5" s="30">
        <f>+E5/J5</f>
        <v>10.666666666666666</v>
      </c>
      <c r="L5" s="32">
        <v>11</v>
      </c>
      <c r="M5" s="13"/>
      <c r="N5" s="18">
        <v>2.4</v>
      </c>
      <c r="O5" s="18">
        <f>L5</f>
        <v>11</v>
      </c>
      <c r="P5" s="18">
        <f>O5*N5</f>
        <v>26.4</v>
      </c>
      <c r="Q5" s="12"/>
      <c r="R5" s="12"/>
      <c r="S5" s="12"/>
      <c r="T5" s="12"/>
      <c r="U5" s="12"/>
      <c r="V5" s="1">
        <f t="shared" ref="V5:V19" si="6">12-J5*F5</f>
        <v>2.3999999999999986</v>
      </c>
      <c r="W5" s="1">
        <f t="shared" ref="W5:W19" si="7">+L5*V5</f>
        <v>26.399999999999984</v>
      </c>
      <c r="X5" s="1">
        <f t="shared" si="0"/>
        <v>2.4666666666666668</v>
      </c>
      <c r="Y5" s="1">
        <f t="shared" si="1"/>
        <v>29.6</v>
      </c>
      <c r="Z5" s="2">
        <f t="shared" si="2"/>
        <v>2.4666666666666668</v>
      </c>
    </row>
    <row r="6" spans="1:26">
      <c r="A6" s="2" t="s">
        <v>14</v>
      </c>
      <c r="B6" s="33">
        <v>8</v>
      </c>
      <c r="C6" s="25">
        <v>20</v>
      </c>
      <c r="D6" s="25">
        <v>1</v>
      </c>
      <c r="E6" s="25">
        <f t="shared" si="3"/>
        <v>20</v>
      </c>
      <c r="F6" s="26">
        <v>3.9</v>
      </c>
      <c r="G6" s="25">
        <f t="shared" si="4"/>
        <v>78</v>
      </c>
      <c r="H6" s="25">
        <f t="shared" si="5"/>
        <v>6.5</v>
      </c>
      <c r="I6" s="25">
        <f t="shared" ref="I5:I18" si="8">+$G$2/F6</f>
        <v>3.0769230769230771</v>
      </c>
      <c r="J6" s="25">
        <v>3</v>
      </c>
      <c r="K6" s="25">
        <f t="shared" ref="K5:K19" si="9">+E6/J6</f>
        <v>6.666666666666667</v>
      </c>
      <c r="L6" s="35">
        <v>7</v>
      </c>
      <c r="M6" s="13"/>
      <c r="N6" s="12"/>
      <c r="O6" s="12"/>
      <c r="P6" s="12">
        <f>O6*N6</f>
        <v>0</v>
      </c>
      <c r="Q6" s="12"/>
      <c r="R6" s="12"/>
      <c r="S6" s="12"/>
      <c r="T6" s="12"/>
      <c r="U6" s="12"/>
      <c r="V6" s="1">
        <f t="shared" si="6"/>
        <v>0.30000000000000071</v>
      </c>
      <c r="W6" s="1">
        <f t="shared" si="7"/>
        <v>2.100000000000005</v>
      </c>
      <c r="X6" s="1">
        <f t="shared" si="0"/>
        <v>0.5</v>
      </c>
      <c r="Y6" s="1">
        <f t="shared" si="1"/>
        <v>6</v>
      </c>
      <c r="Z6" s="2">
        <f t="shared" si="2"/>
        <v>0.5</v>
      </c>
    </row>
    <row r="7" spans="1:26">
      <c r="A7" s="2" t="s">
        <v>14</v>
      </c>
      <c r="B7" s="33">
        <v>8</v>
      </c>
      <c r="C7" s="25">
        <v>34</v>
      </c>
      <c r="D7" s="25">
        <v>1</v>
      </c>
      <c r="E7" s="25">
        <f t="shared" si="3"/>
        <v>34</v>
      </c>
      <c r="F7" s="26">
        <v>1</v>
      </c>
      <c r="G7" s="25">
        <f t="shared" si="4"/>
        <v>34</v>
      </c>
      <c r="H7" s="25">
        <f t="shared" si="5"/>
        <v>2.8333333333333335</v>
      </c>
      <c r="I7" s="25">
        <f t="shared" si="8"/>
        <v>12</v>
      </c>
      <c r="J7" s="25">
        <v>12</v>
      </c>
      <c r="K7" s="25">
        <f t="shared" si="9"/>
        <v>2.8333333333333335</v>
      </c>
      <c r="L7" s="35">
        <v>3</v>
      </c>
      <c r="M7" s="13"/>
      <c r="N7" s="19">
        <v>2</v>
      </c>
      <c r="O7" s="19">
        <v>1</v>
      </c>
      <c r="P7" s="19">
        <f>O7*N7</f>
        <v>2</v>
      </c>
      <c r="Q7" s="12"/>
      <c r="R7" s="12"/>
      <c r="S7" s="12"/>
      <c r="T7" s="12"/>
      <c r="U7" s="12"/>
      <c r="V7" s="1">
        <f t="shared" si="6"/>
        <v>0</v>
      </c>
      <c r="W7" s="1">
        <f t="shared" si="7"/>
        <v>0</v>
      </c>
      <c r="X7" s="1">
        <f t="shared" si="0"/>
        <v>0.16666666666666652</v>
      </c>
      <c r="Y7" s="1">
        <f t="shared" si="1"/>
        <v>1.9999999999999982</v>
      </c>
      <c r="Z7" s="2">
        <f t="shared" si="2"/>
        <v>0.16666666666666652</v>
      </c>
    </row>
    <row r="8" spans="1:26">
      <c r="A8" s="2" t="s">
        <v>14</v>
      </c>
      <c r="B8" s="33">
        <v>8</v>
      </c>
      <c r="C8" s="25">
        <v>10</v>
      </c>
      <c r="D8" s="25">
        <v>1</v>
      </c>
      <c r="E8" s="25">
        <f t="shared" si="3"/>
        <v>10</v>
      </c>
      <c r="F8" s="26">
        <v>2.4</v>
      </c>
      <c r="G8" s="42">
        <f t="shared" si="4"/>
        <v>24</v>
      </c>
      <c r="H8" s="42">
        <f t="shared" si="5"/>
        <v>2</v>
      </c>
      <c r="I8" s="42">
        <f t="shared" si="8"/>
        <v>5</v>
      </c>
      <c r="J8" s="42">
        <v>5</v>
      </c>
      <c r="K8" s="42">
        <f t="shared" si="9"/>
        <v>2</v>
      </c>
      <c r="L8" s="44">
        <v>2</v>
      </c>
      <c r="M8" s="13"/>
      <c r="N8" s="16">
        <v>6.6</v>
      </c>
      <c r="O8" s="16">
        <v>1</v>
      </c>
      <c r="P8" s="16">
        <f>O8*N8</f>
        <v>6.6</v>
      </c>
      <c r="Q8" s="12"/>
      <c r="R8" s="12"/>
      <c r="S8" s="12"/>
      <c r="T8" s="12"/>
      <c r="U8" s="12"/>
      <c r="V8" s="1">
        <f t="shared" si="6"/>
        <v>0</v>
      </c>
      <c r="W8" s="1">
        <f t="shared" si="7"/>
        <v>0</v>
      </c>
      <c r="X8" s="1">
        <f t="shared" si="0"/>
        <v>0</v>
      </c>
      <c r="Y8" s="1">
        <f t="shared" si="1"/>
        <v>0</v>
      </c>
      <c r="Z8" s="2">
        <f t="shared" si="2"/>
        <v>0</v>
      </c>
    </row>
    <row r="9" spans="1:26">
      <c r="A9" s="16" t="s">
        <v>14</v>
      </c>
      <c r="B9" s="48">
        <v>8</v>
      </c>
      <c r="C9" s="47">
        <v>10</v>
      </c>
      <c r="D9" s="47">
        <v>1</v>
      </c>
      <c r="E9" s="47">
        <f t="shared" si="3"/>
        <v>10</v>
      </c>
      <c r="F9" s="26">
        <v>2.7</v>
      </c>
      <c r="G9" s="47">
        <f t="shared" si="4"/>
        <v>27</v>
      </c>
      <c r="H9" s="47">
        <f t="shared" si="5"/>
        <v>2.25</v>
      </c>
      <c r="I9" s="47">
        <f t="shared" si="8"/>
        <v>4.4444444444444438</v>
      </c>
      <c r="J9" s="47">
        <v>4</v>
      </c>
      <c r="K9" s="47">
        <f t="shared" si="9"/>
        <v>2.5</v>
      </c>
      <c r="L9" s="49">
        <v>3</v>
      </c>
      <c r="M9" s="13"/>
      <c r="N9" s="16">
        <v>1.2</v>
      </c>
      <c r="O9" s="16">
        <v>2</v>
      </c>
      <c r="P9" s="16">
        <f>O9*N9</f>
        <v>2.4</v>
      </c>
      <c r="Q9" s="12"/>
      <c r="R9" s="12"/>
      <c r="S9" s="12"/>
      <c r="T9" s="12"/>
      <c r="U9" s="12"/>
      <c r="V9" s="1">
        <f t="shared" si="6"/>
        <v>1.1999999999999993</v>
      </c>
      <c r="W9" s="1">
        <f t="shared" si="7"/>
        <v>3.5999999999999979</v>
      </c>
      <c r="X9" s="1">
        <f t="shared" si="0"/>
        <v>0.75</v>
      </c>
      <c r="Y9" s="1">
        <f t="shared" si="1"/>
        <v>9</v>
      </c>
      <c r="Z9" s="2">
        <f t="shared" si="2"/>
        <v>0.75</v>
      </c>
    </row>
    <row r="10" spans="1:26">
      <c r="A10" s="2" t="s">
        <v>15</v>
      </c>
      <c r="B10" s="33">
        <v>8</v>
      </c>
      <c r="C10" s="25">
        <v>28</v>
      </c>
      <c r="D10" s="25">
        <v>1</v>
      </c>
      <c r="E10" s="25">
        <f t="shared" si="3"/>
        <v>28</v>
      </c>
      <c r="F10" s="26">
        <v>4.49</v>
      </c>
      <c r="G10" s="43">
        <f t="shared" si="4"/>
        <v>125.72</v>
      </c>
      <c r="H10" s="43">
        <f t="shared" si="5"/>
        <v>10.476666666666667</v>
      </c>
      <c r="I10" s="43">
        <f t="shared" si="8"/>
        <v>2.6726057906458798</v>
      </c>
      <c r="J10" s="43">
        <v>2</v>
      </c>
      <c r="K10" s="43">
        <f t="shared" si="9"/>
        <v>14</v>
      </c>
      <c r="L10" s="45">
        <v>12</v>
      </c>
      <c r="M10" s="13"/>
      <c r="N10" s="12"/>
      <c r="O10" s="12"/>
      <c r="P10" s="12"/>
      <c r="Q10" s="12"/>
      <c r="R10" s="12"/>
      <c r="S10" s="12"/>
      <c r="T10" s="12"/>
      <c r="U10" s="12"/>
      <c r="V10" s="1">
        <f t="shared" si="6"/>
        <v>3.0199999999999996</v>
      </c>
      <c r="W10" s="1">
        <f t="shared" si="7"/>
        <v>36.239999999999995</v>
      </c>
      <c r="X10" s="1">
        <f t="shared" si="0"/>
        <v>1.5233333333333334</v>
      </c>
      <c r="Y10" s="1">
        <f t="shared" si="1"/>
        <v>18.28</v>
      </c>
      <c r="Z10" s="2">
        <f t="shared" si="2"/>
        <v>1.5233333333333334</v>
      </c>
    </row>
    <row r="11" spans="1:26">
      <c r="A11" s="2" t="s">
        <v>15</v>
      </c>
      <c r="B11" s="33">
        <v>8</v>
      </c>
      <c r="C11" s="25">
        <v>25</v>
      </c>
      <c r="D11" s="25">
        <v>1</v>
      </c>
      <c r="E11" s="25">
        <f t="shared" si="3"/>
        <v>25</v>
      </c>
      <c r="F11" s="26">
        <v>6.24</v>
      </c>
      <c r="G11" s="43">
        <f t="shared" si="4"/>
        <v>156</v>
      </c>
      <c r="H11" s="43">
        <f t="shared" si="5"/>
        <v>13</v>
      </c>
      <c r="I11" s="43">
        <f t="shared" si="8"/>
        <v>1.9230769230769229</v>
      </c>
      <c r="J11" s="43">
        <v>2</v>
      </c>
      <c r="K11" s="43">
        <f t="shared" si="9"/>
        <v>12.5</v>
      </c>
      <c r="L11" s="45">
        <v>14</v>
      </c>
      <c r="M11" s="13"/>
      <c r="N11" s="12"/>
      <c r="O11" s="12"/>
      <c r="P11" s="12"/>
      <c r="Q11" s="12"/>
      <c r="R11" s="12"/>
      <c r="S11" s="12"/>
      <c r="T11" s="12"/>
      <c r="U11" s="12"/>
      <c r="V11" s="1">
        <f t="shared" si="6"/>
        <v>-0.48000000000000043</v>
      </c>
      <c r="W11" s="1">
        <f t="shared" si="7"/>
        <v>-6.720000000000006</v>
      </c>
      <c r="X11" s="1">
        <f t="shared" si="0"/>
        <v>1</v>
      </c>
      <c r="Y11" s="1">
        <f t="shared" si="1"/>
        <v>12</v>
      </c>
      <c r="Z11" s="2">
        <f t="shared" si="2"/>
        <v>1</v>
      </c>
    </row>
    <row r="12" spans="1:26">
      <c r="A12" s="2" t="s">
        <v>15</v>
      </c>
      <c r="B12" s="33">
        <v>8</v>
      </c>
      <c r="C12" s="25">
        <v>10</v>
      </c>
      <c r="D12" s="25">
        <v>1</v>
      </c>
      <c r="E12" s="25">
        <f t="shared" si="3"/>
        <v>10</v>
      </c>
      <c r="F12" s="26">
        <v>1.8</v>
      </c>
      <c r="G12" s="25">
        <f t="shared" si="4"/>
        <v>18</v>
      </c>
      <c r="H12" s="25">
        <f t="shared" si="5"/>
        <v>1.5</v>
      </c>
      <c r="I12" s="25">
        <f t="shared" si="8"/>
        <v>6.6666666666666661</v>
      </c>
      <c r="J12" s="25">
        <v>6</v>
      </c>
      <c r="K12" s="25">
        <f t="shared" si="9"/>
        <v>1.6666666666666667</v>
      </c>
      <c r="L12" s="35">
        <v>2</v>
      </c>
      <c r="M12" s="13"/>
      <c r="N12" s="12"/>
      <c r="O12" s="12"/>
      <c r="P12" s="12"/>
      <c r="Q12" s="12"/>
      <c r="R12" s="12"/>
      <c r="S12" s="12"/>
      <c r="T12" s="12"/>
      <c r="U12" s="12"/>
      <c r="V12" s="1">
        <f t="shared" si="6"/>
        <v>1.1999999999999993</v>
      </c>
      <c r="W12" s="1">
        <f t="shared" si="7"/>
        <v>2.3999999999999986</v>
      </c>
      <c r="X12" s="1">
        <f t="shared" si="0"/>
        <v>0.5</v>
      </c>
      <c r="Y12" s="1">
        <f t="shared" si="1"/>
        <v>6</v>
      </c>
      <c r="Z12" s="2">
        <f t="shared" si="2"/>
        <v>0.5</v>
      </c>
    </row>
    <row r="13" spans="1:26">
      <c r="A13" s="2" t="s">
        <v>15</v>
      </c>
      <c r="B13" s="33">
        <v>8</v>
      </c>
      <c r="C13" s="25">
        <v>7</v>
      </c>
      <c r="D13" s="25">
        <v>1</v>
      </c>
      <c r="E13" s="25">
        <f t="shared" si="3"/>
        <v>7</v>
      </c>
      <c r="F13" s="26">
        <v>3.24</v>
      </c>
      <c r="G13" s="25">
        <f t="shared" si="4"/>
        <v>22.68</v>
      </c>
      <c r="H13" s="25">
        <f t="shared" si="5"/>
        <v>1.89</v>
      </c>
      <c r="I13" s="25">
        <f t="shared" si="8"/>
        <v>3.7037037037037033</v>
      </c>
      <c r="J13" s="25">
        <v>3</v>
      </c>
      <c r="K13" s="25">
        <f t="shared" si="9"/>
        <v>2.3333333333333335</v>
      </c>
      <c r="L13" s="35">
        <v>3</v>
      </c>
      <c r="M13" s="13"/>
      <c r="N13" s="19">
        <v>2.2799999999999998</v>
      </c>
      <c r="O13" s="19">
        <v>3</v>
      </c>
      <c r="P13" s="19">
        <f t="shared" ref="P13:P19" si="10">O13*N13</f>
        <v>6.84</v>
      </c>
      <c r="Q13" s="12"/>
      <c r="R13" s="12"/>
      <c r="S13" s="12"/>
      <c r="T13" s="12"/>
      <c r="U13" s="12"/>
      <c r="V13" s="1">
        <f t="shared" si="6"/>
        <v>2.2799999999999994</v>
      </c>
      <c r="W13" s="1">
        <f t="shared" si="7"/>
        <v>6.8399999999999981</v>
      </c>
      <c r="X13" s="1">
        <f t="shared" si="0"/>
        <v>1.1100000000000001</v>
      </c>
      <c r="Y13" s="1">
        <f t="shared" si="1"/>
        <v>13.32</v>
      </c>
      <c r="Z13" s="2">
        <f t="shared" si="2"/>
        <v>1.1100000000000001</v>
      </c>
    </row>
    <row r="14" spans="1:26">
      <c r="A14" s="2" t="s">
        <v>15</v>
      </c>
      <c r="B14" s="33">
        <v>8</v>
      </c>
      <c r="C14" s="25">
        <v>10</v>
      </c>
      <c r="D14" s="25">
        <v>1</v>
      </c>
      <c r="E14" s="25">
        <f t="shared" si="3"/>
        <v>10</v>
      </c>
      <c r="F14" s="26">
        <v>2.14</v>
      </c>
      <c r="G14" s="42">
        <f t="shared" si="4"/>
        <v>21.400000000000002</v>
      </c>
      <c r="H14" s="42">
        <f t="shared" si="5"/>
        <v>1.7833333333333334</v>
      </c>
      <c r="I14" s="42">
        <f t="shared" si="8"/>
        <v>5.6074766355140184</v>
      </c>
      <c r="J14" s="42">
        <v>5</v>
      </c>
      <c r="K14" s="42">
        <f t="shared" si="9"/>
        <v>2</v>
      </c>
      <c r="L14" s="44">
        <v>2</v>
      </c>
      <c r="M14" s="13"/>
      <c r="N14" s="19">
        <v>1.3</v>
      </c>
      <c r="O14" s="19">
        <v>2</v>
      </c>
      <c r="P14" s="19">
        <f t="shared" si="10"/>
        <v>2.6</v>
      </c>
      <c r="Q14" s="12">
        <f>P14/12</f>
        <v>0.21666666666666667</v>
      </c>
      <c r="R14" s="12"/>
      <c r="S14" s="12"/>
      <c r="T14" s="12"/>
      <c r="U14" s="12"/>
      <c r="V14" s="1">
        <f t="shared" si="6"/>
        <v>1.2999999999999989</v>
      </c>
      <c r="W14" s="1">
        <f t="shared" si="7"/>
        <v>2.5999999999999979</v>
      </c>
      <c r="X14" s="1">
        <f t="shared" si="0"/>
        <v>0.21666666666666656</v>
      </c>
      <c r="Y14" s="1">
        <f t="shared" si="1"/>
        <v>2.5999999999999988</v>
      </c>
      <c r="Z14" s="2">
        <f t="shared" si="2"/>
        <v>0.21666666666666656</v>
      </c>
    </row>
    <row r="15" spans="1:26">
      <c r="A15" s="2" t="s">
        <v>15</v>
      </c>
      <c r="B15" s="33">
        <v>8</v>
      </c>
      <c r="C15" s="25">
        <v>15</v>
      </c>
      <c r="D15" s="25">
        <v>1</v>
      </c>
      <c r="E15" s="25">
        <f t="shared" si="3"/>
        <v>15</v>
      </c>
      <c r="F15" s="26">
        <v>3.84</v>
      </c>
      <c r="G15" s="25">
        <f t="shared" si="4"/>
        <v>57.599999999999994</v>
      </c>
      <c r="H15" s="25">
        <f t="shared" si="5"/>
        <v>4.8</v>
      </c>
      <c r="I15" s="25">
        <f t="shared" si="8"/>
        <v>3.125</v>
      </c>
      <c r="J15" s="25">
        <v>3</v>
      </c>
      <c r="K15" s="25">
        <f t="shared" si="9"/>
        <v>5</v>
      </c>
      <c r="L15" s="35">
        <v>5</v>
      </c>
      <c r="M15" s="13"/>
      <c r="N15" s="12">
        <v>0.48</v>
      </c>
      <c r="O15" s="12">
        <v>5</v>
      </c>
      <c r="P15" s="12">
        <f t="shared" si="10"/>
        <v>2.4</v>
      </c>
      <c r="Q15" s="12">
        <f>P15/12</f>
        <v>0.19999999999999998</v>
      </c>
      <c r="R15" s="12"/>
      <c r="S15" s="12"/>
      <c r="T15" s="12"/>
      <c r="U15" s="12"/>
      <c r="V15" s="1">
        <f t="shared" si="6"/>
        <v>0.48000000000000043</v>
      </c>
      <c r="W15" s="1">
        <f t="shared" si="7"/>
        <v>2.4000000000000021</v>
      </c>
      <c r="X15" s="1">
        <f t="shared" si="0"/>
        <v>0.20000000000000018</v>
      </c>
      <c r="Y15" s="1">
        <f t="shared" si="1"/>
        <v>2.4000000000000021</v>
      </c>
      <c r="Z15" s="2">
        <f t="shared" si="2"/>
        <v>0.20000000000000018</v>
      </c>
    </row>
    <row r="16" spans="1:26">
      <c r="A16" s="2" t="s">
        <v>15</v>
      </c>
      <c r="B16" s="33">
        <v>8</v>
      </c>
      <c r="C16" s="25">
        <v>28</v>
      </c>
      <c r="D16" s="25">
        <v>1</v>
      </c>
      <c r="E16" s="25">
        <f t="shared" si="3"/>
        <v>28</v>
      </c>
      <c r="F16" s="26">
        <v>5.27</v>
      </c>
      <c r="G16" s="43">
        <f t="shared" si="4"/>
        <v>147.56</v>
      </c>
      <c r="H16" s="43">
        <f t="shared" si="5"/>
        <v>12.296666666666667</v>
      </c>
      <c r="I16" s="43">
        <f t="shared" si="8"/>
        <v>2.2770398481973437</v>
      </c>
      <c r="J16" s="43">
        <v>2</v>
      </c>
      <c r="K16" s="43">
        <f t="shared" si="9"/>
        <v>14</v>
      </c>
      <c r="L16" s="45">
        <v>14</v>
      </c>
      <c r="M16" s="13"/>
      <c r="N16" s="17">
        <v>1.46</v>
      </c>
      <c r="O16" s="17">
        <v>14</v>
      </c>
      <c r="P16" s="17">
        <f t="shared" si="10"/>
        <v>20.439999999999998</v>
      </c>
      <c r="Q16" s="12"/>
      <c r="R16" s="12"/>
      <c r="S16" s="12"/>
      <c r="T16" s="12"/>
      <c r="U16" s="12"/>
      <c r="V16" s="1">
        <f t="shared" si="6"/>
        <v>1.4600000000000009</v>
      </c>
      <c r="W16" s="1">
        <f t="shared" si="7"/>
        <v>20.440000000000012</v>
      </c>
      <c r="X16" s="1">
        <f t="shared" si="0"/>
        <v>1.7033333333333331</v>
      </c>
      <c r="Y16" s="1">
        <f t="shared" si="1"/>
        <v>20.439999999999998</v>
      </c>
      <c r="Z16" s="2">
        <f t="shared" si="2"/>
        <v>1.7033333333333331</v>
      </c>
    </row>
    <row r="17" spans="1:26">
      <c r="A17" s="2" t="s">
        <v>15</v>
      </c>
      <c r="B17" s="33">
        <v>8</v>
      </c>
      <c r="C17" s="25">
        <v>14</v>
      </c>
      <c r="D17" s="25">
        <v>1</v>
      </c>
      <c r="E17" s="25">
        <f t="shared" si="3"/>
        <v>14</v>
      </c>
      <c r="F17" s="26">
        <v>2.3199999999999998</v>
      </c>
      <c r="G17" s="25">
        <f t="shared" si="4"/>
        <v>32.479999999999997</v>
      </c>
      <c r="H17" s="25">
        <f t="shared" si="5"/>
        <v>2.7066666666666666</v>
      </c>
      <c r="I17" s="25">
        <f t="shared" si="8"/>
        <v>5.1724137931034484</v>
      </c>
      <c r="J17" s="25">
        <v>5</v>
      </c>
      <c r="K17" s="25">
        <f t="shared" si="9"/>
        <v>2.8</v>
      </c>
      <c r="L17" s="35">
        <v>3</v>
      </c>
      <c r="M17" s="13"/>
      <c r="N17" s="12">
        <v>0.4</v>
      </c>
      <c r="O17" s="12">
        <v>3</v>
      </c>
      <c r="P17" s="12">
        <f t="shared" si="10"/>
        <v>1.2000000000000002</v>
      </c>
      <c r="Q17" s="12">
        <f>P17/12</f>
        <v>0.10000000000000002</v>
      </c>
      <c r="R17" s="12"/>
      <c r="S17" s="12"/>
      <c r="T17" s="12"/>
      <c r="U17" s="12"/>
      <c r="V17" s="1">
        <f t="shared" si="6"/>
        <v>0.40000000000000036</v>
      </c>
      <c r="W17" s="1">
        <f t="shared" si="7"/>
        <v>1.2000000000000011</v>
      </c>
      <c r="X17" s="1">
        <f t="shared" si="0"/>
        <v>0.29333333333333345</v>
      </c>
      <c r="Y17" s="1">
        <f t="shared" si="1"/>
        <v>3.5200000000000014</v>
      </c>
      <c r="Z17" s="2">
        <f t="shared" si="2"/>
        <v>0.29333333333333345</v>
      </c>
    </row>
    <row r="18" spans="1:26">
      <c r="A18" s="2" t="s">
        <v>15</v>
      </c>
      <c r="B18" s="33">
        <v>8</v>
      </c>
      <c r="C18" s="25">
        <v>30</v>
      </c>
      <c r="D18" s="25">
        <v>1</v>
      </c>
      <c r="E18" s="25">
        <f t="shared" si="3"/>
        <v>30</v>
      </c>
      <c r="F18" s="26">
        <v>4.87</v>
      </c>
      <c r="G18" s="43">
        <f t="shared" si="4"/>
        <v>146.1</v>
      </c>
      <c r="H18" s="43">
        <f t="shared" si="5"/>
        <v>12.174999999999999</v>
      </c>
      <c r="I18" s="43">
        <f t="shared" si="8"/>
        <v>2.4640657084188913</v>
      </c>
      <c r="J18" s="43">
        <v>2</v>
      </c>
      <c r="K18" s="43">
        <f t="shared" si="9"/>
        <v>15</v>
      </c>
      <c r="L18" s="45">
        <v>15</v>
      </c>
      <c r="M18" s="13"/>
      <c r="N18" s="18">
        <v>2.2599999999999998</v>
      </c>
      <c r="O18" s="18">
        <v>15</v>
      </c>
      <c r="P18" s="18">
        <f t="shared" si="10"/>
        <v>33.9</v>
      </c>
      <c r="Q18" s="12">
        <f>P18/12</f>
        <v>2.8249999999999997</v>
      </c>
      <c r="R18" s="12"/>
      <c r="S18" s="12"/>
      <c r="T18" s="12"/>
      <c r="U18" s="12"/>
      <c r="V18" s="1">
        <f t="shared" si="6"/>
        <v>2.2599999999999998</v>
      </c>
      <c r="W18" s="1">
        <f t="shared" si="7"/>
        <v>33.9</v>
      </c>
      <c r="X18" s="1">
        <f t="shared" si="0"/>
        <v>2.8250000000000011</v>
      </c>
      <c r="Y18" s="1">
        <f t="shared" si="1"/>
        <v>33.900000000000013</v>
      </c>
      <c r="Z18" s="2">
        <f t="shared" si="2"/>
        <v>2.8250000000000011</v>
      </c>
    </row>
    <row r="19" spans="1:26" ht="13.5" thickBot="1">
      <c r="A19" s="2" t="s">
        <v>15</v>
      </c>
      <c r="B19" s="37">
        <v>8</v>
      </c>
      <c r="C19" s="38">
        <v>21</v>
      </c>
      <c r="D19" s="38">
        <v>1</v>
      </c>
      <c r="E19" s="38">
        <f t="shared" si="3"/>
        <v>21</v>
      </c>
      <c r="F19" s="39">
        <v>6.9</v>
      </c>
      <c r="G19" s="38">
        <f t="shared" si="4"/>
        <v>144.9</v>
      </c>
      <c r="H19" s="38">
        <f t="shared" si="5"/>
        <v>12.075000000000001</v>
      </c>
      <c r="I19" s="38"/>
      <c r="J19" s="38">
        <v>1</v>
      </c>
      <c r="K19" s="38">
        <f t="shared" si="9"/>
        <v>21</v>
      </c>
      <c r="L19" s="46">
        <v>21</v>
      </c>
      <c r="M19" s="13"/>
      <c r="N19" s="12">
        <v>5.0999999999999996</v>
      </c>
      <c r="O19" s="12">
        <v>21</v>
      </c>
      <c r="P19" s="12">
        <f t="shared" si="10"/>
        <v>107.1</v>
      </c>
      <c r="Q19" s="12">
        <f>P19/12</f>
        <v>8.9249999999999989</v>
      </c>
      <c r="R19" s="12"/>
      <c r="S19" s="12"/>
      <c r="T19" s="12"/>
      <c r="U19" s="12"/>
      <c r="V19" s="1">
        <f t="shared" si="6"/>
        <v>5.0999999999999996</v>
      </c>
      <c r="W19" s="1">
        <f t="shared" si="7"/>
        <v>107.1</v>
      </c>
      <c r="X19" s="1">
        <f t="shared" si="0"/>
        <v>8.9249999999999989</v>
      </c>
      <c r="Y19" s="1">
        <f t="shared" si="1"/>
        <v>107.1</v>
      </c>
      <c r="Z19" s="2">
        <f t="shared" si="2"/>
        <v>8.9249999999999989</v>
      </c>
    </row>
    <row r="20" spans="1:26" ht="13.5" thickBot="1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20">
        <f>SUM(L5:L19)</f>
        <v>117</v>
      </c>
      <c r="N20" s="12"/>
      <c r="O20" s="12"/>
      <c r="P20" s="12">
        <f>SUM(P5:P19)</f>
        <v>211.88</v>
      </c>
      <c r="Q20" s="12">
        <f>P20/12</f>
        <v>17.656666666666666</v>
      </c>
      <c r="R20" s="12"/>
      <c r="S20" s="12"/>
      <c r="T20" s="12"/>
      <c r="U20" s="12"/>
      <c r="V20" s="1"/>
      <c r="W20" s="1"/>
      <c r="X20" s="1"/>
      <c r="Y20" s="1"/>
    </row>
    <row r="21" spans="1:26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>
        <v>2</v>
      </c>
      <c r="M21" s="13"/>
      <c r="N21" s="12"/>
      <c r="O21" s="12"/>
      <c r="P21" s="12"/>
      <c r="Q21" s="12"/>
      <c r="R21" s="12"/>
      <c r="S21" s="12"/>
      <c r="T21" s="12"/>
      <c r="U21" s="12"/>
      <c r="V21" s="1"/>
      <c r="W21" s="1"/>
      <c r="X21" s="1"/>
      <c r="Y21" s="1"/>
    </row>
    <row r="22" spans="1:26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>
        <v>2</v>
      </c>
      <c r="M22" s="13"/>
      <c r="N22" s="12"/>
      <c r="O22" s="12"/>
      <c r="P22" s="12"/>
      <c r="Q22" s="12"/>
      <c r="R22" s="12"/>
      <c r="S22" s="12"/>
      <c r="T22" s="12"/>
      <c r="U22" s="12"/>
      <c r="V22" s="1"/>
      <c r="W22" s="1"/>
      <c r="X22" s="1"/>
      <c r="Y22" s="1"/>
    </row>
    <row r="23" spans="1:26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>
        <v>2</v>
      </c>
      <c r="M23" s="13"/>
      <c r="N23" s="12"/>
      <c r="O23" s="12"/>
      <c r="P23" s="12"/>
      <c r="Q23" s="12"/>
      <c r="R23" s="12"/>
      <c r="S23" s="12"/>
      <c r="T23" s="12"/>
      <c r="U23" s="12"/>
      <c r="V23" s="1"/>
      <c r="W23" s="1"/>
      <c r="X23" s="1"/>
      <c r="Y23" s="1"/>
    </row>
    <row r="24" spans="1:26" ht="13.5" thickBot="1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>
        <v>1</v>
      </c>
      <c r="M24" s="13"/>
      <c r="N24" s="12"/>
      <c r="O24" s="12"/>
      <c r="P24" s="12"/>
      <c r="Q24" s="12"/>
      <c r="R24" s="12"/>
      <c r="S24" s="12"/>
      <c r="T24" s="12"/>
      <c r="U24" s="12"/>
      <c r="V24" s="1"/>
      <c r="W24" s="1"/>
      <c r="X24" s="1"/>
      <c r="Y24" s="1"/>
    </row>
    <row r="25" spans="1:26" ht="18.75" thickBot="1">
      <c r="B25" s="22">
        <v>8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1">
        <v>105</v>
      </c>
      <c r="N25" s="12"/>
      <c r="O25" s="12"/>
      <c r="P25" s="12"/>
      <c r="Q25" s="12"/>
      <c r="R25" s="12"/>
      <c r="S25" s="12"/>
      <c r="T25" s="12"/>
      <c r="U25" s="12"/>
      <c r="V25" s="1"/>
      <c r="W25" s="1"/>
      <c r="X25" s="1"/>
      <c r="Y25" s="1"/>
    </row>
    <row r="26" spans="1:26" ht="13.5" thickBot="1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/>
      <c r="N26" s="12"/>
      <c r="O26" s="12"/>
      <c r="P26" s="12"/>
      <c r="Q26" s="12"/>
      <c r="R26" s="12"/>
      <c r="S26" s="12"/>
      <c r="T26" s="12"/>
      <c r="U26" s="12"/>
      <c r="V26" s="1"/>
      <c r="W26" s="1"/>
      <c r="X26" s="1"/>
      <c r="Y26" s="1"/>
    </row>
    <row r="27" spans="1:26">
      <c r="A27" s="2" t="s">
        <v>16</v>
      </c>
      <c r="B27" s="29">
        <v>10</v>
      </c>
      <c r="C27" s="30">
        <v>8</v>
      </c>
      <c r="D27" s="30">
        <v>1</v>
      </c>
      <c r="E27" s="30">
        <f t="shared" ref="E27:E34" si="11">+C27*D27</f>
        <v>8</v>
      </c>
      <c r="F27" s="31">
        <v>2.2999999999999998</v>
      </c>
      <c r="G27" s="30">
        <f t="shared" ref="G27:G34" si="12">+F27*E27</f>
        <v>18.399999999999999</v>
      </c>
      <c r="H27" s="30">
        <f t="shared" ref="H27:H37" si="13">+G27/$G$2</f>
        <v>1.5333333333333332</v>
      </c>
      <c r="I27" s="30">
        <f t="shared" ref="I27:I34" si="14">+$G$2/F27</f>
        <v>5.2173913043478262</v>
      </c>
      <c r="J27" s="30">
        <v>5</v>
      </c>
      <c r="K27" s="30">
        <f t="shared" ref="K27:K34" si="15">+E27/J27</f>
        <v>1.6</v>
      </c>
      <c r="L27" s="32">
        <v>2</v>
      </c>
      <c r="M27" s="13"/>
      <c r="N27" s="12">
        <v>0.5</v>
      </c>
      <c r="O27" s="12">
        <f>L27</f>
        <v>2</v>
      </c>
      <c r="P27" s="12">
        <f>O27*N27</f>
        <v>1</v>
      </c>
      <c r="Q27" s="12"/>
      <c r="R27" s="12"/>
      <c r="S27" s="12"/>
      <c r="T27" s="12"/>
      <c r="U27" s="12"/>
      <c r="V27" s="2">
        <f>+L27*12/F27-E27</f>
        <v>2.4347826086956523</v>
      </c>
      <c r="W27" s="2">
        <f>+V27*F27</f>
        <v>5.6</v>
      </c>
      <c r="X27" s="2">
        <f>+L27-H27</f>
        <v>0.46666666666666679</v>
      </c>
      <c r="Y27" s="2">
        <f>+X27*$G$2</f>
        <v>5.6000000000000014</v>
      </c>
      <c r="Z27" s="2">
        <f>+Y27/$Z$3</f>
        <v>0.46666666666666679</v>
      </c>
    </row>
    <row r="28" spans="1:26">
      <c r="A28" s="2" t="s">
        <v>17</v>
      </c>
      <c r="B28" s="33">
        <v>10</v>
      </c>
      <c r="C28" s="25">
        <v>7</v>
      </c>
      <c r="D28" s="25">
        <v>2</v>
      </c>
      <c r="E28" s="25">
        <f t="shared" si="11"/>
        <v>14</v>
      </c>
      <c r="F28" s="26">
        <v>1.7</v>
      </c>
      <c r="G28" s="25">
        <f t="shared" si="12"/>
        <v>23.8</v>
      </c>
      <c r="H28" s="25">
        <f t="shared" si="13"/>
        <v>1.9833333333333334</v>
      </c>
      <c r="I28" s="25">
        <f t="shared" si="14"/>
        <v>7.0588235294117645</v>
      </c>
      <c r="J28" s="25">
        <v>7</v>
      </c>
      <c r="K28" s="25">
        <f t="shared" si="15"/>
        <v>2</v>
      </c>
      <c r="L28" s="35">
        <v>2</v>
      </c>
      <c r="M28" s="13"/>
      <c r="N28" s="12"/>
      <c r="O28" s="12"/>
      <c r="P28" s="12"/>
      <c r="Q28" s="12"/>
      <c r="R28" s="12"/>
      <c r="S28" s="12"/>
      <c r="T28" s="12"/>
      <c r="U28" s="12"/>
    </row>
    <row r="29" spans="1:26">
      <c r="A29" s="2" t="s">
        <v>18</v>
      </c>
      <c r="B29" s="33">
        <v>10</v>
      </c>
      <c r="C29" s="25">
        <v>12</v>
      </c>
      <c r="D29" s="25">
        <v>1</v>
      </c>
      <c r="E29" s="25">
        <f t="shared" si="11"/>
        <v>12</v>
      </c>
      <c r="F29" s="26">
        <v>2</v>
      </c>
      <c r="G29" s="25">
        <f t="shared" si="12"/>
        <v>24</v>
      </c>
      <c r="H29" s="25">
        <f t="shared" si="13"/>
        <v>2</v>
      </c>
      <c r="I29" s="25">
        <f t="shared" si="14"/>
        <v>6</v>
      </c>
      <c r="J29" s="25">
        <v>6</v>
      </c>
      <c r="K29" s="25">
        <f t="shared" si="15"/>
        <v>2</v>
      </c>
      <c r="L29" s="35">
        <v>2</v>
      </c>
      <c r="M29" s="12"/>
      <c r="N29" s="12"/>
      <c r="O29" s="12"/>
      <c r="P29" s="12"/>
      <c r="Q29" s="12"/>
      <c r="R29" s="12"/>
      <c r="S29" s="12"/>
      <c r="T29" s="12"/>
      <c r="U29" s="12"/>
    </row>
    <row r="30" spans="1:26">
      <c r="A30" s="2" t="s">
        <v>18</v>
      </c>
      <c r="B30" s="33">
        <v>10</v>
      </c>
      <c r="C30" s="25">
        <v>17</v>
      </c>
      <c r="D30" s="25">
        <v>1</v>
      </c>
      <c r="E30" s="25">
        <f t="shared" si="11"/>
        <v>17</v>
      </c>
      <c r="F30" s="26">
        <v>1.4</v>
      </c>
      <c r="G30" s="25">
        <f t="shared" si="12"/>
        <v>23.799999999999997</v>
      </c>
      <c r="H30" s="25">
        <f t="shared" si="13"/>
        <v>1.9833333333333332</v>
      </c>
      <c r="I30" s="25">
        <f t="shared" si="14"/>
        <v>8.5714285714285712</v>
      </c>
      <c r="J30" s="25">
        <v>8</v>
      </c>
      <c r="K30" s="25">
        <f t="shared" si="15"/>
        <v>2.125</v>
      </c>
      <c r="L30" s="35">
        <v>2</v>
      </c>
      <c r="M30" s="12"/>
      <c r="N30" s="12">
        <v>0.8</v>
      </c>
      <c r="O30" s="12">
        <f>L30</f>
        <v>2</v>
      </c>
      <c r="P30" s="12">
        <f>O30*N30</f>
        <v>1.6</v>
      </c>
      <c r="Q30" s="12"/>
      <c r="R30" s="12"/>
      <c r="S30" s="12"/>
      <c r="T30" s="12"/>
      <c r="U30" s="12"/>
      <c r="X30" s="1"/>
      <c r="Y30" s="1"/>
      <c r="Z30" s="1"/>
    </row>
    <row r="31" spans="1:26">
      <c r="A31" s="2" t="s">
        <v>19</v>
      </c>
      <c r="B31" s="33">
        <v>10</v>
      </c>
      <c r="C31" s="25">
        <v>14</v>
      </c>
      <c r="D31" s="25">
        <v>1</v>
      </c>
      <c r="E31" s="25">
        <f t="shared" si="11"/>
        <v>14</v>
      </c>
      <c r="F31" s="26">
        <v>1.7</v>
      </c>
      <c r="G31" s="42">
        <f t="shared" si="12"/>
        <v>23.8</v>
      </c>
      <c r="H31" s="42">
        <f t="shared" si="13"/>
        <v>1.9833333333333334</v>
      </c>
      <c r="I31" s="42">
        <f t="shared" si="14"/>
        <v>7.0588235294117645</v>
      </c>
      <c r="J31" s="42">
        <v>7</v>
      </c>
      <c r="K31" s="42">
        <f t="shared" si="15"/>
        <v>2</v>
      </c>
      <c r="L31" s="44">
        <v>2</v>
      </c>
      <c r="M31" s="12"/>
      <c r="N31" s="15">
        <v>1.2</v>
      </c>
      <c r="O31" s="15">
        <v>1</v>
      </c>
      <c r="P31" s="15">
        <f>O31*N31</f>
        <v>1.2</v>
      </c>
      <c r="Q31" s="12"/>
      <c r="R31" s="12"/>
      <c r="S31" s="12"/>
      <c r="T31" s="12"/>
      <c r="U31" s="12"/>
    </row>
    <row r="32" spans="1:26">
      <c r="A32" s="2" t="s">
        <v>20</v>
      </c>
      <c r="B32" s="33">
        <v>10</v>
      </c>
      <c r="C32" s="25">
        <v>8</v>
      </c>
      <c r="D32" s="25">
        <v>1</v>
      </c>
      <c r="E32" s="25">
        <f t="shared" si="11"/>
        <v>8</v>
      </c>
      <c r="F32" s="26">
        <v>1.8</v>
      </c>
      <c r="G32" s="28">
        <f t="shared" si="12"/>
        <v>14.4</v>
      </c>
      <c r="H32" s="28">
        <f t="shared" si="13"/>
        <v>1.2</v>
      </c>
      <c r="I32" s="28">
        <f t="shared" si="14"/>
        <v>6.6666666666666661</v>
      </c>
      <c r="J32" s="28">
        <v>6</v>
      </c>
      <c r="K32" s="28">
        <f t="shared" si="15"/>
        <v>1.3333333333333333</v>
      </c>
      <c r="L32" s="36">
        <v>2</v>
      </c>
      <c r="M32" s="12"/>
      <c r="N32" s="15">
        <v>8.4</v>
      </c>
      <c r="O32" s="15">
        <v>1</v>
      </c>
      <c r="P32" s="15">
        <f>O32*N32</f>
        <v>8.4</v>
      </c>
      <c r="Q32" s="12"/>
      <c r="R32" s="12"/>
      <c r="S32" s="12"/>
      <c r="T32" s="12"/>
      <c r="U32" s="12"/>
    </row>
    <row r="33" spans="1:26">
      <c r="A33" s="2" t="s">
        <v>20</v>
      </c>
      <c r="B33" s="33">
        <v>10</v>
      </c>
      <c r="C33" s="25">
        <v>10</v>
      </c>
      <c r="D33" s="25">
        <v>1</v>
      </c>
      <c r="E33" s="25">
        <f t="shared" si="11"/>
        <v>10</v>
      </c>
      <c r="F33" s="26">
        <v>1.1000000000000001</v>
      </c>
      <c r="G33" s="25">
        <f t="shared" si="12"/>
        <v>11</v>
      </c>
      <c r="H33" s="25">
        <f t="shared" si="13"/>
        <v>0.91666666666666663</v>
      </c>
      <c r="I33" s="25">
        <f t="shared" si="14"/>
        <v>10.909090909090908</v>
      </c>
      <c r="J33" s="25">
        <v>11</v>
      </c>
      <c r="K33" s="25">
        <f t="shared" si="15"/>
        <v>0.90909090909090906</v>
      </c>
      <c r="L33" s="35">
        <v>1</v>
      </c>
      <c r="M33" s="12"/>
      <c r="N33" s="12"/>
      <c r="O33" s="12"/>
      <c r="P33" s="12"/>
      <c r="Q33" s="12"/>
      <c r="R33" s="12"/>
      <c r="S33" s="12"/>
      <c r="T33" s="12"/>
      <c r="U33" s="12"/>
    </row>
    <row r="34" spans="1:26">
      <c r="A34" s="2" t="s">
        <v>21</v>
      </c>
      <c r="B34" s="33">
        <v>10</v>
      </c>
      <c r="C34" s="25">
        <v>6</v>
      </c>
      <c r="D34" s="25">
        <v>1</v>
      </c>
      <c r="E34" s="25">
        <f t="shared" si="11"/>
        <v>6</v>
      </c>
      <c r="F34" s="26">
        <v>2.1</v>
      </c>
      <c r="G34" s="25">
        <f t="shared" si="12"/>
        <v>12.600000000000001</v>
      </c>
      <c r="H34" s="25">
        <f t="shared" si="13"/>
        <v>1.05</v>
      </c>
      <c r="I34" s="25">
        <f t="shared" si="14"/>
        <v>5.7142857142857144</v>
      </c>
      <c r="J34" s="25">
        <v>6</v>
      </c>
      <c r="K34" s="25">
        <f t="shared" si="15"/>
        <v>1</v>
      </c>
      <c r="L34" s="35">
        <v>1</v>
      </c>
      <c r="M34" s="12"/>
      <c r="N34" s="12"/>
      <c r="O34" s="12"/>
      <c r="P34" s="12"/>
      <c r="Q34" s="12"/>
      <c r="R34" s="12"/>
      <c r="S34" s="12"/>
      <c r="T34" s="12"/>
      <c r="U34" s="12"/>
    </row>
    <row r="35" spans="1:26">
      <c r="A35" s="2" t="s">
        <v>14</v>
      </c>
      <c r="B35" s="33">
        <v>10</v>
      </c>
      <c r="C35" s="25">
        <v>30</v>
      </c>
      <c r="D35" s="25">
        <v>1</v>
      </c>
      <c r="E35" s="25">
        <f>+C35*D35</f>
        <v>30</v>
      </c>
      <c r="F35" s="26">
        <v>3.1</v>
      </c>
      <c r="G35" s="43">
        <f>+F35*E35</f>
        <v>93</v>
      </c>
      <c r="H35" s="43">
        <f t="shared" si="13"/>
        <v>7.75</v>
      </c>
      <c r="I35" s="43">
        <f>+$G$2/F35</f>
        <v>3.8709677419354835</v>
      </c>
      <c r="J35" s="43">
        <v>3</v>
      </c>
      <c r="K35" s="43">
        <f>+E35/J35</f>
        <v>10</v>
      </c>
      <c r="L35" s="45">
        <v>10</v>
      </c>
      <c r="M35" s="17"/>
      <c r="N35" s="17">
        <v>2.7</v>
      </c>
      <c r="O35" s="17">
        <f>L35</f>
        <v>10</v>
      </c>
      <c r="P35" s="17">
        <f>O35*N35</f>
        <v>27</v>
      </c>
      <c r="Q35" s="12"/>
      <c r="R35" s="12"/>
      <c r="S35" s="12"/>
      <c r="T35" s="12"/>
      <c r="U35" s="12"/>
    </row>
    <row r="36" spans="1:26">
      <c r="A36" s="2" t="s">
        <v>14</v>
      </c>
      <c r="B36" s="33">
        <v>10</v>
      </c>
      <c r="C36" s="25">
        <v>22</v>
      </c>
      <c r="D36" s="25">
        <v>1</v>
      </c>
      <c r="E36" s="25">
        <f>+C36*D36</f>
        <v>22</v>
      </c>
      <c r="F36" s="26">
        <v>4.0999999999999996</v>
      </c>
      <c r="G36" s="25">
        <f>+F36*E36</f>
        <v>90.199999999999989</v>
      </c>
      <c r="H36" s="25">
        <f t="shared" si="13"/>
        <v>7.5166666666666657</v>
      </c>
      <c r="I36" s="25">
        <f>+$G$2/F36</f>
        <v>2.9268292682926833</v>
      </c>
      <c r="J36" s="25">
        <v>3</v>
      </c>
      <c r="K36" s="25">
        <f>+E36/J36</f>
        <v>7.333333333333333</v>
      </c>
      <c r="L36" s="35">
        <v>8</v>
      </c>
      <c r="M36" s="12"/>
      <c r="N36" s="12">
        <v>6</v>
      </c>
      <c r="O36" s="12">
        <v>1</v>
      </c>
      <c r="P36" s="12">
        <f>O36*N36</f>
        <v>6</v>
      </c>
      <c r="Q36" s="12"/>
      <c r="R36" s="12"/>
      <c r="S36" s="12"/>
      <c r="T36" s="12"/>
      <c r="U36" s="12"/>
    </row>
    <row r="37" spans="1:26" ht="13.5" thickBot="1">
      <c r="A37" s="2" t="s">
        <v>14</v>
      </c>
      <c r="B37" s="37">
        <v>10</v>
      </c>
      <c r="C37" s="38">
        <v>32</v>
      </c>
      <c r="D37" s="38">
        <v>1</v>
      </c>
      <c r="E37" s="38">
        <f>+C37*D37</f>
        <v>32</v>
      </c>
      <c r="F37" s="39">
        <v>1</v>
      </c>
      <c r="G37" s="38">
        <f>+F37*E37</f>
        <v>32</v>
      </c>
      <c r="H37" s="38">
        <f t="shared" si="13"/>
        <v>2.6666666666666665</v>
      </c>
      <c r="I37" s="38">
        <f>+$G$2/F37</f>
        <v>12</v>
      </c>
      <c r="J37" s="38">
        <v>12</v>
      </c>
      <c r="K37" s="38">
        <f>+E37/J37</f>
        <v>2.6666666666666665</v>
      </c>
      <c r="L37" s="46">
        <v>3</v>
      </c>
      <c r="M37" s="12"/>
      <c r="N37" s="12">
        <v>4</v>
      </c>
      <c r="O37" s="12">
        <v>1</v>
      </c>
      <c r="P37" s="12">
        <f>O37*N37</f>
        <v>4</v>
      </c>
      <c r="Q37" s="12"/>
      <c r="R37" s="12"/>
      <c r="S37" s="12"/>
      <c r="T37" s="12"/>
      <c r="U37" s="12"/>
    </row>
    <row r="38" spans="1:26" ht="13.5" thickBot="1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0">
        <f>SUM(L27:L37)</f>
        <v>35</v>
      </c>
      <c r="N38" s="12"/>
      <c r="O38" s="12"/>
      <c r="P38" s="12">
        <f>SUM(P27:P37)</f>
        <v>49.2</v>
      </c>
      <c r="Q38" s="12">
        <f>P38/12</f>
        <v>4.1000000000000005</v>
      </c>
      <c r="R38" s="12"/>
      <c r="S38" s="12"/>
      <c r="T38" s="12"/>
      <c r="U38" s="12"/>
    </row>
    <row r="39" spans="1:26" ht="13.5" thickBot="1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>
        <v>4</v>
      </c>
      <c r="M39" s="12"/>
      <c r="N39" s="12"/>
      <c r="O39" s="12"/>
      <c r="Q39" s="12"/>
      <c r="R39" s="12"/>
      <c r="S39" s="12"/>
      <c r="T39" s="12"/>
      <c r="U39" s="12"/>
    </row>
    <row r="40" spans="1:26" ht="18.75" thickBot="1">
      <c r="B40" s="22">
        <v>10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1">
        <v>32</v>
      </c>
      <c r="N40" s="12"/>
      <c r="O40" s="12"/>
      <c r="P40" s="12"/>
      <c r="Q40" s="12"/>
      <c r="R40" s="12"/>
      <c r="S40" s="12"/>
      <c r="T40" s="12"/>
      <c r="U40" s="12"/>
    </row>
    <row r="41" spans="1:2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6" ht="13.5" thickBot="1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6">
      <c r="A43" s="2" t="s">
        <v>16</v>
      </c>
      <c r="B43" s="29">
        <v>12</v>
      </c>
      <c r="C43" s="30">
        <v>17</v>
      </c>
      <c r="D43" s="30">
        <v>1</v>
      </c>
      <c r="E43" s="30">
        <f t="shared" ref="E43:E48" si="16">+C43*D43</f>
        <v>17</v>
      </c>
      <c r="F43" s="31">
        <v>1.5</v>
      </c>
      <c r="G43" s="30">
        <f t="shared" ref="G43:G48" si="17">+F43*E43</f>
        <v>25.5</v>
      </c>
      <c r="H43" s="30">
        <f t="shared" ref="H43:H51" si="18">+G43/$G$2</f>
        <v>2.125</v>
      </c>
      <c r="I43" s="30">
        <f t="shared" ref="I43:I48" si="19">+$G$2/F43</f>
        <v>8</v>
      </c>
      <c r="J43" s="30">
        <v>8</v>
      </c>
      <c r="K43" s="30">
        <f t="shared" ref="K43:K48" si="20">+E43/J43</f>
        <v>2.125</v>
      </c>
      <c r="L43" s="32">
        <v>3</v>
      </c>
      <c r="M43" s="24"/>
      <c r="N43" s="24">
        <v>1.5</v>
      </c>
      <c r="O43" s="24">
        <v>4</v>
      </c>
      <c r="P43" s="24">
        <f>O43*N43</f>
        <v>6</v>
      </c>
      <c r="Q43" s="12"/>
      <c r="R43" s="12"/>
      <c r="S43" s="12"/>
      <c r="T43" s="12"/>
      <c r="U43" s="12"/>
      <c r="V43" s="1">
        <f>+L43*12/F43-E43</f>
        <v>7</v>
      </c>
      <c r="W43" s="1">
        <f>+V43*F43</f>
        <v>10.5</v>
      </c>
      <c r="X43" s="1">
        <f>+L43-H43</f>
        <v>0.875</v>
      </c>
      <c r="Y43" s="1">
        <f>+X43*$G$2</f>
        <v>10.5</v>
      </c>
      <c r="Z43" s="1">
        <f>+Y43/$Z$3</f>
        <v>0.875</v>
      </c>
    </row>
    <row r="44" spans="1:26">
      <c r="A44" s="2" t="s">
        <v>22</v>
      </c>
      <c r="B44" s="33">
        <v>12</v>
      </c>
      <c r="C44" s="25">
        <v>35</v>
      </c>
      <c r="D44" s="25">
        <v>1</v>
      </c>
      <c r="E44" s="25">
        <f t="shared" si="16"/>
        <v>35</v>
      </c>
      <c r="F44" s="26">
        <v>1.75</v>
      </c>
      <c r="G44" s="27">
        <f t="shared" si="17"/>
        <v>61.25</v>
      </c>
      <c r="H44" s="27">
        <f t="shared" si="18"/>
        <v>5.104166666666667</v>
      </c>
      <c r="I44" s="27">
        <f t="shared" si="19"/>
        <v>6.8571428571428568</v>
      </c>
      <c r="J44" s="27">
        <v>6</v>
      </c>
      <c r="K44" s="27">
        <f t="shared" si="20"/>
        <v>5.833333333333333</v>
      </c>
      <c r="L44" s="34">
        <v>6</v>
      </c>
      <c r="M44" s="24"/>
      <c r="N44" s="24">
        <v>3.25</v>
      </c>
      <c r="O44" s="24">
        <v>1</v>
      </c>
      <c r="P44" s="24">
        <f>O44*N44</f>
        <v>3.25</v>
      </c>
      <c r="Q44" s="12"/>
      <c r="R44" s="12"/>
      <c r="S44" s="12"/>
      <c r="T44" s="12"/>
      <c r="U44" s="12"/>
      <c r="V44" s="1"/>
      <c r="W44" s="1"/>
      <c r="X44" s="1"/>
      <c r="Y44" s="1"/>
      <c r="Z44" s="1"/>
    </row>
    <row r="45" spans="1:26">
      <c r="A45" s="2" t="s">
        <v>17</v>
      </c>
      <c r="B45" s="33">
        <v>12</v>
      </c>
      <c r="C45" s="25">
        <v>11</v>
      </c>
      <c r="D45" s="25">
        <v>2</v>
      </c>
      <c r="E45" s="25">
        <f t="shared" si="16"/>
        <v>22</v>
      </c>
      <c r="F45" s="26">
        <v>1.3</v>
      </c>
      <c r="G45" s="25">
        <f>+F45*E45*D45</f>
        <v>57.2</v>
      </c>
      <c r="H45" s="25">
        <f t="shared" si="18"/>
        <v>4.7666666666666666</v>
      </c>
      <c r="I45" s="25">
        <f t="shared" si="19"/>
        <v>9.2307692307692299</v>
      </c>
      <c r="J45" s="25">
        <v>9</v>
      </c>
      <c r="K45" s="25">
        <f>(+E45*2)/J45</f>
        <v>4.8888888888888893</v>
      </c>
      <c r="L45" s="35">
        <v>5</v>
      </c>
      <c r="M45" s="12"/>
      <c r="N45" s="12"/>
      <c r="O45" s="12"/>
      <c r="P45" s="12"/>
      <c r="Q45" s="12"/>
      <c r="R45" s="12"/>
      <c r="S45" s="12"/>
      <c r="T45" s="12"/>
      <c r="U45" s="12"/>
    </row>
    <row r="46" spans="1:26">
      <c r="A46" s="2" t="s">
        <v>23</v>
      </c>
      <c r="B46" s="33">
        <v>12</v>
      </c>
      <c r="C46" s="25">
        <v>36</v>
      </c>
      <c r="D46" s="25">
        <v>1</v>
      </c>
      <c r="E46" s="25">
        <f t="shared" si="16"/>
        <v>36</v>
      </c>
      <c r="F46" s="26">
        <v>2</v>
      </c>
      <c r="G46" s="25">
        <f t="shared" si="17"/>
        <v>72</v>
      </c>
      <c r="H46" s="25">
        <f t="shared" si="18"/>
        <v>6</v>
      </c>
      <c r="I46" s="25">
        <f t="shared" si="19"/>
        <v>6</v>
      </c>
      <c r="J46" s="25">
        <v>6</v>
      </c>
      <c r="K46" s="25">
        <f t="shared" si="20"/>
        <v>6</v>
      </c>
      <c r="L46" s="35">
        <v>6</v>
      </c>
      <c r="M46" s="12"/>
      <c r="N46" s="24">
        <v>8.1999999999999993</v>
      </c>
      <c r="O46" s="12">
        <v>1</v>
      </c>
      <c r="P46" s="24">
        <f>O46*N46</f>
        <v>8.1999999999999993</v>
      </c>
      <c r="Q46" s="12"/>
      <c r="R46" s="12"/>
      <c r="S46" s="12"/>
      <c r="T46" s="12"/>
      <c r="U46" s="12"/>
      <c r="V46" s="2">
        <f>12-J46*F46</f>
        <v>0</v>
      </c>
      <c r="W46" s="2">
        <f>+L46*V46</f>
        <v>0</v>
      </c>
      <c r="X46" s="2">
        <f>+L46-H46</f>
        <v>0</v>
      </c>
      <c r="Y46" s="2">
        <f>+X46*$G$2</f>
        <v>0</v>
      </c>
      <c r="Z46" s="2">
        <f>+Y46/$Z$3</f>
        <v>0</v>
      </c>
    </row>
    <row r="47" spans="1:26">
      <c r="A47" s="2" t="s">
        <v>24</v>
      </c>
      <c r="B47" s="33">
        <v>12</v>
      </c>
      <c r="C47" s="25">
        <v>20</v>
      </c>
      <c r="D47" s="25">
        <v>1</v>
      </c>
      <c r="E47" s="25">
        <f t="shared" si="16"/>
        <v>20</v>
      </c>
      <c r="F47" s="26">
        <v>1.9</v>
      </c>
      <c r="G47" s="25">
        <f t="shared" si="17"/>
        <v>38</v>
      </c>
      <c r="H47" s="25">
        <f t="shared" si="18"/>
        <v>3.1666666666666665</v>
      </c>
      <c r="I47" s="25">
        <f t="shared" si="19"/>
        <v>6.3157894736842106</v>
      </c>
      <c r="J47" s="25">
        <v>6</v>
      </c>
      <c r="K47" s="25">
        <f t="shared" si="20"/>
        <v>3.3333333333333335</v>
      </c>
      <c r="L47" s="35">
        <v>4</v>
      </c>
      <c r="M47" s="12"/>
      <c r="N47" s="24">
        <v>0.6</v>
      </c>
      <c r="O47" s="24">
        <v>3</v>
      </c>
      <c r="P47" s="24">
        <f>O47*N47</f>
        <v>1.7999999999999998</v>
      </c>
      <c r="Q47" s="12"/>
      <c r="R47" s="12"/>
      <c r="S47" s="12"/>
      <c r="T47" s="12"/>
      <c r="U47" s="12"/>
      <c r="V47" s="2">
        <f>12-J47*F47</f>
        <v>0.60000000000000142</v>
      </c>
      <c r="W47" s="2">
        <f>+L47*V47</f>
        <v>2.4000000000000057</v>
      </c>
      <c r="X47" s="2">
        <f>+L47-H47</f>
        <v>0.83333333333333348</v>
      </c>
      <c r="Y47" s="2">
        <f>+X47*$G$2</f>
        <v>10.000000000000002</v>
      </c>
      <c r="Z47" s="2">
        <f>+Y47/$Z$3</f>
        <v>0.83333333333333348</v>
      </c>
    </row>
    <row r="48" spans="1:26">
      <c r="A48" s="2" t="s">
        <v>21</v>
      </c>
      <c r="B48" s="33">
        <v>12</v>
      </c>
      <c r="C48" s="25">
        <v>12</v>
      </c>
      <c r="D48" s="25">
        <v>1</v>
      </c>
      <c r="E48" s="25">
        <f t="shared" si="16"/>
        <v>12</v>
      </c>
      <c r="F48" s="26">
        <v>1.3</v>
      </c>
      <c r="G48" s="25">
        <f t="shared" si="17"/>
        <v>15.600000000000001</v>
      </c>
      <c r="H48" s="25">
        <f t="shared" si="18"/>
        <v>1.3</v>
      </c>
      <c r="I48" s="25">
        <f t="shared" si="19"/>
        <v>9.2307692307692299</v>
      </c>
      <c r="J48" s="25">
        <v>9</v>
      </c>
      <c r="K48" s="25">
        <f t="shared" si="20"/>
        <v>1.3333333333333333</v>
      </c>
      <c r="L48" s="35">
        <v>2</v>
      </c>
      <c r="M48" s="12"/>
      <c r="N48" s="24">
        <v>8.1</v>
      </c>
      <c r="O48" s="12">
        <v>1</v>
      </c>
      <c r="P48" s="24">
        <f>O48*N48</f>
        <v>8.1</v>
      </c>
      <c r="Q48" s="12"/>
      <c r="R48" s="12"/>
      <c r="S48" s="12"/>
      <c r="T48" s="12"/>
      <c r="U48" s="12"/>
    </row>
    <row r="49" spans="1:26">
      <c r="A49" s="2" t="s">
        <v>14</v>
      </c>
      <c r="B49" s="33">
        <v>12</v>
      </c>
      <c r="C49" s="25">
        <v>14</v>
      </c>
      <c r="D49" s="25">
        <v>1</v>
      </c>
      <c r="E49" s="25">
        <f>+C49*D49</f>
        <v>14</v>
      </c>
      <c r="F49" s="26">
        <v>2</v>
      </c>
      <c r="G49" s="25">
        <f>+F49*E49</f>
        <v>28</v>
      </c>
      <c r="H49" s="25">
        <f t="shared" si="18"/>
        <v>2.3333333333333335</v>
      </c>
      <c r="I49" s="25">
        <f>+$G$2/F49</f>
        <v>6</v>
      </c>
      <c r="J49" s="25">
        <v>6</v>
      </c>
      <c r="K49" s="25">
        <f>+E49/J49</f>
        <v>2.3333333333333335</v>
      </c>
      <c r="L49" s="35">
        <v>3</v>
      </c>
      <c r="M49" s="12"/>
      <c r="N49" s="24">
        <v>8</v>
      </c>
      <c r="O49" s="12">
        <v>1</v>
      </c>
      <c r="P49" s="24">
        <f>O49*N49</f>
        <v>8</v>
      </c>
      <c r="Q49" s="12"/>
      <c r="R49" s="12"/>
      <c r="S49" s="12"/>
      <c r="T49" s="12"/>
      <c r="U49" s="12"/>
    </row>
    <row r="50" spans="1:26">
      <c r="A50" s="2" t="s">
        <v>15</v>
      </c>
      <c r="B50" s="33">
        <v>12</v>
      </c>
      <c r="C50" s="25">
        <v>2</v>
      </c>
      <c r="D50" s="25">
        <v>1</v>
      </c>
      <c r="E50" s="25">
        <f>+C50*D50</f>
        <v>2</v>
      </c>
      <c r="F50" s="26">
        <v>2.4</v>
      </c>
      <c r="G50" s="28">
        <f>+F50*E50</f>
        <v>4.8</v>
      </c>
      <c r="H50" s="28">
        <f t="shared" si="18"/>
        <v>0.39999999999999997</v>
      </c>
      <c r="I50" s="28">
        <f>+$G$2/F50</f>
        <v>5</v>
      </c>
      <c r="J50" s="28">
        <v>5</v>
      </c>
      <c r="K50" s="28">
        <f>+E50/J50</f>
        <v>0.4</v>
      </c>
      <c r="L50" s="36">
        <v>0</v>
      </c>
      <c r="M50" s="12"/>
      <c r="N50" s="12"/>
      <c r="O50" s="12"/>
      <c r="P50" s="12"/>
      <c r="Q50" s="12"/>
      <c r="R50" s="12"/>
      <c r="S50" s="12"/>
      <c r="T50" s="12"/>
      <c r="U50" s="12"/>
    </row>
    <row r="51" spans="1:26" ht="13.5" thickBot="1">
      <c r="A51" s="2" t="s">
        <v>15</v>
      </c>
      <c r="B51" s="37">
        <v>12</v>
      </c>
      <c r="C51" s="38">
        <v>2</v>
      </c>
      <c r="D51" s="38">
        <v>1</v>
      </c>
      <c r="E51" s="38">
        <f>+C51*D51</f>
        <v>2</v>
      </c>
      <c r="F51" s="39">
        <v>2.4</v>
      </c>
      <c r="G51" s="40">
        <f>+F51*E51</f>
        <v>4.8</v>
      </c>
      <c r="H51" s="40">
        <f t="shared" si="18"/>
        <v>0.39999999999999997</v>
      </c>
      <c r="I51" s="40">
        <f>+$G$2/F51</f>
        <v>5</v>
      </c>
      <c r="J51" s="40">
        <v>5</v>
      </c>
      <c r="K51" s="40">
        <f>+E51/J51</f>
        <v>0.4</v>
      </c>
      <c r="L51" s="41">
        <v>1</v>
      </c>
      <c r="M51" s="12"/>
      <c r="N51" s="15">
        <v>2.4</v>
      </c>
      <c r="O51" s="15">
        <v>1</v>
      </c>
      <c r="P51" s="15">
        <f>O51*N51</f>
        <v>2.4</v>
      </c>
      <c r="Q51" s="12"/>
      <c r="R51" s="12"/>
      <c r="S51" s="12"/>
      <c r="T51" s="12"/>
      <c r="U51" s="12"/>
    </row>
    <row r="52" spans="1:26" ht="13.5" thickBot="1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>
        <f>SUM(L43:L51)</f>
        <v>30</v>
      </c>
      <c r="N52" s="12"/>
      <c r="O52" s="12"/>
      <c r="P52" s="12">
        <f>SUM(P43:P51)</f>
        <v>37.75</v>
      </c>
      <c r="Q52" s="12">
        <f>P52/12</f>
        <v>3.1458333333333335</v>
      </c>
      <c r="R52" s="12"/>
      <c r="S52" s="12"/>
      <c r="T52" s="12"/>
      <c r="U52" s="12"/>
    </row>
    <row r="53" spans="1:26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6" ht="13.5" thickBot="1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>
        <v>2</v>
      </c>
      <c r="M54" s="12"/>
      <c r="N54" s="12"/>
      <c r="O54" s="12"/>
      <c r="P54" s="12"/>
      <c r="Q54" s="12"/>
      <c r="R54" s="12"/>
      <c r="S54" s="12"/>
      <c r="T54" s="12"/>
      <c r="U54" s="12"/>
    </row>
    <row r="55" spans="1:26" ht="18.75" thickBot="1">
      <c r="B55" s="22">
        <v>12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1">
        <v>28</v>
      </c>
      <c r="N55" s="12"/>
      <c r="O55" s="12"/>
      <c r="P55" s="12"/>
      <c r="Q55" s="12"/>
      <c r="R55" s="12"/>
      <c r="S55" s="12"/>
      <c r="T55" s="12"/>
      <c r="U55" s="12"/>
    </row>
    <row r="56" spans="1:26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6" ht="13.5" thickBot="1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>
        <f>12-1.5</f>
        <v>10.5</v>
      </c>
      <c r="O57" s="12">
        <v>1</v>
      </c>
      <c r="P57" s="12">
        <f>O57*N57</f>
        <v>10.5</v>
      </c>
      <c r="Q57" s="12"/>
      <c r="R57" s="12"/>
      <c r="S57" s="12"/>
      <c r="T57" s="12"/>
      <c r="U57" s="12"/>
    </row>
    <row r="58" spans="1:26">
      <c r="A58" s="2" t="s">
        <v>19</v>
      </c>
      <c r="B58" s="29">
        <v>16</v>
      </c>
      <c r="C58" s="30">
        <v>11</v>
      </c>
      <c r="D58" s="30">
        <v>1</v>
      </c>
      <c r="E58" s="30">
        <f>+C58*D58</f>
        <v>11</v>
      </c>
      <c r="F58" s="31">
        <v>2.4</v>
      </c>
      <c r="G58" s="30">
        <f>+F58*E58</f>
        <v>26.4</v>
      </c>
      <c r="H58" s="30">
        <f>+G58/$G$2</f>
        <v>2.1999999999999997</v>
      </c>
      <c r="I58" s="30">
        <f>+$G$2/F58</f>
        <v>5</v>
      </c>
      <c r="J58" s="30">
        <v>5</v>
      </c>
      <c r="K58" s="30">
        <f>+E58/J58</f>
        <v>2.2000000000000002</v>
      </c>
      <c r="L58" s="32">
        <v>3</v>
      </c>
      <c r="M58" s="12"/>
      <c r="N58" s="50">
        <v>1</v>
      </c>
      <c r="O58" s="50">
        <v>2</v>
      </c>
      <c r="P58" s="50">
        <f>O58*N58</f>
        <v>2</v>
      </c>
      <c r="Q58" s="12"/>
      <c r="R58" s="12"/>
      <c r="S58" s="12"/>
      <c r="T58" s="12"/>
      <c r="U58" s="12"/>
      <c r="V58" s="1">
        <f>12-J58*F58</f>
        <v>0</v>
      </c>
      <c r="W58" s="1">
        <f>+L58*V58</f>
        <v>0</v>
      </c>
      <c r="X58" s="1">
        <f t="shared" ref="X58:X68" si="21">+L58-H58</f>
        <v>0.80000000000000027</v>
      </c>
      <c r="Y58" s="1">
        <f t="shared" ref="Y58:Y68" si="22">+X58*$G$2</f>
        <v>9.6000000000000032</v>
      </c>
      <c r="Z58" s="2">
        <f t="shared" ref="Z58:Z79" si="23">+Y58/$Z$3</f>
        <v>0.80000000000000027</v>
      </c>
    </row>
    <row r="59" spans="1:26">
      <c r="A59" s="2" t="s">
        <v>24</v>
      </c>
      <c r="B59" s="33">
        <v>16</v>
      </c>
      <c r="C59" s="25">
        <v>11</v>
      </c>
      <c r="D59" s="25">
        <v>1</v>
      </c>
      <c r="E59" s="25">
        <f>+C59*D59</f>
        <v>11</v>
      </c>
      <c r="F59" s="26">
        <v>2.75</v>
      </c>
      <c r="G59" s="51">
        <f>+F59*E59</f>
        <v>30.25</v>
      </c>
      <c r="H59" s="51">
        <f>+G59/$G$2</f>
        <v>2.5208333333333335</v>
      </c>
      <c r="I59" s="51">
        <f>+$G$2/F59</f>
        <v>4.3636363636363633</v>
      </c>
      <c r="J59" s="51">
        <v>4</v>
      </c>
      <c r="K59" s="51">
        <f>+E59/J59</f>
        <v>2.75</v>
      </c>
      <c r="L59" s="52">
        <v>3</v>
      </c>
      <c r="M59" s="12"/>
      <c r="N59" s="50">
        <v>3.75</v>
      </c>
      <c r="O59" s="50">
        <v>1</v>
      </c>
      <c r="P59" s="50">
        <f>O59*N59</f>
        <v>3.75</v>
      </c>
      <c r="Q59" s="12"/>
      <c r="R59" s="12"/>
      <c r="S59" s="12"/>
      <c r="T59" s="12"/>
      <c r="U59" s="12"/>
      <c r="V59" s="1">
        <f>12-J59*F59</f>
        <v>1</v>
      </c>
      <c r="W59" s="1">
        <f>+L59*V59</f>
        <v>3</v>
      </c>
      <c r="X59" s="1">
        <f t="shared" si="21"/>
        <v>0.47916666666666652</v>
      </c>
      <c r="Y59" s="1">
        <f t="shared" si="22"/>
        <v>5.7499999999999982</v>
      </c>
      <c r="Z59" s="2">
        <f t="shared" si="23"/>
        <v>0.47916666666666652</v>
      </c>
    </row>
    <row r="60" spans="1:26">
      <c r="A60" s="2" t="s">
        <v>15</v>
      </c>
      <c r="B60" s="33">
        <v>16</v>
      </c>
      <c r="C60" s="25">
        <v>2</v>
      </c>
      <c r="D60" s="25">
        <v>1</v>
      </c>
      <c r="E60" s="25">
        <f>+C60*D60</f>
        <v>2</v>
      </c>
      <c r="F60" s="26">
        <v>5.09</v>
      </c>
      <c r="G60" s="25">
        <f>+F60*E60</f>
        <v>10.18</v>
      </c>
      <c r="H60" s="25">
        <f>+G60/$G$2</f>
        <v>0.84833333333333327</v>
      </c>
      <c r="I60" s="25">
        <f>+$G$2/F60</f>
        <v>2.3575638506876229</v>
      </c>
      <c r="J60" s="25">
        <v>2</v>
      </c>
      <c r="K60" s="25">
        <f>+E60/J60</f>
        <v>1</v>
      </c>
      <c r="L60" s="35">
        <v>1</v>
      </c>
      <c r="M60" s="12"/>
      <c r="N60" s="12">
        <v>1.82</v>
      </c>
      <c r="O60" s="12">
        <v>1</v>
      </c>
      <c r="P60" s="12">
        <f>O60*N60</f>
        <v>1.82</v>
      </c>
      <c r="Q60" s="12"/>
      <c r="R60" s="12"/>
      <c r="S60" s="12"/>
      <c r="T60" s="12"/>
      <c r="U60" s="12"/>
      <c r="V60" s="1">
        <f>12-J60*F60</f>
        <v>1.8200000000000003</v>
      </c>
      <c r="W60" s="1">
        <f>+L60*V60</f>
        <v>1.8200000000000003</v>
      </c>
      <c r="X60" s="1">
        <f t="shared" si="21"/>
        <v>0.15166666666666673</v>
      </c>
      <c r="Y60" s="1">
        <f t="shared" si="22"/>
        <v>1.8200000000000007</v>
      </c>
      <c r="Z60" s="2">
        <f t="shared" si="23"/>
        <v>0.15166666666666673</v>
      </c>
    </row>
    <row r="61" spans="1:26" ht="13.5" thickBot="1">
      <c r="A61" s="2" t="s">
        <v>15</v>
      </c>
      <c r="B61" s="37">
        <v>16</v>
      </c>
      <c r="C61" s="38">
        <v>2</v>
      </c>
      <c r="D61" s="38">
        <v>1</v>
      </c>
      <c r="E61" s="38">
        <f>+C61*D61</f>
        <v>2</v>
      </c>
      <c r="F61" s="39">
        <v>3.22</v>
      </c>
      <c r="G61" s="38">
        <f>+F61*E61</f>
        <v>6.44</v>
      </c>
      <c r="H61" s="38">
        <f>+G61/$G$2</f>
        <v>0.53666666666666674</v>
      </c>
      <c r="I61" s="38">
        <f>+$G$2/F61</f>
        <v>3.7267080745341614</v>
      </c>
      <c r="J61" s="38">
        <v>2</v>
      </c>
      <c r="K61" s="38">
        <f>+E61/J61</f>
        <v>1</v>
      </c>
      <c r="L61" s="46">
        <v>1</v>
      </c>
      <c r="M61" s="12"/>
      <c r="N61" s="12">
        <v>5.56</v>
      </c>
      <c r="O61" s="12">
        <v>1</v>
      </c>
      <c r="P61" s="12">
        <f>O61*N61</f>
        <v>5.56</v>
      </c>
      <c r="Q61" s="12"/>
      <c r="R61" s="12"/>
      <c r="S61" s="12"/>
      <c r="T61" s="12"/>
      <c r="U61" s="12"/>
      <c r="V61" s="1">
        <f>12-J61*F61</f>
        <v>5.56</v>
      </c>
      <c r="W61" s="1">
        <f>+L61*V61</f>
        <v>5.56</v>
      </c>
      <c r="X61" s="1">
        <f t="shared" si="21"/>
        <v>0.46333333333333326</v>
      </c>
      <c r="Y61" s="1">
        <f t="shared" si="22"/>
        <v>5.5599999999999987</v>
      </c>
      <c r="Z61" s="2">
        <f t="shared" si="23"/>
        <v>0.46333333333333321</v>
      </c>
    </row>
    <row r="62" spans="1:26" ht="13.5" thickBot="1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>
        <f>SUM(L58:L61)</f>
        <v>8</v>
      </c>
      <c r="N62" s="12"/>
      <c r="O62" s="12"/>
      <c r="P62" s="12">
        <f>SUM(P57:P61)</f>
        <v>23.63</v>
      </c>
      <c r="Q62" s="12">
        <f>P62/12</f>
        <v>1.9691666666666665</v>
      </c>
      <c r="R62" s="12"/>
      <c r="S62" s="12"/>
      <c r="T62" s="12"/>
      <c r="U62" s="12"/>
      <c r="V62" s="1"/>
      <c r="W62" s="1"/>
      <c r="X62" s="1"/>
      <c r="Y62" s="1"/>
    </row>
    <row r="63" spans="1:26" ht="13.5" thickBot="1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>
        <v>2</v>
      </c>
      <c r="M63" s="12"/>
      <c r="N63" s="12"/>
      <c r="O63" s="12"/>
      <c r="P63" s="12"/>
      <c r="Q63" s="12"/>
      <c r="R63" s="12"/>
      <c r="S63" s="12"/>
      <c r="T63" s="12"/>
      <c r="U63" s="12"/>
      <c r="V63" s="1"/>
      <c r="W63" s="1"/>
      <c r="X63" s="1"/>
      <c r="Y63" s="1"/>
    </row>
    <row r="64" spans="1:26" ht="18.75" thickBot="1">
      <c r="B64" s="22">
        <v>16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1">
        <v>6</v>
      </c>
      <c r="N64" s="12"/>
      <c r="O64" s="12"/>
      <c r="P64" s="12"/>
      <c r="Q64" s="12"/>
      <c r="R64" s="12"/>
      <c r="S64" s="12"/>
      <c r="T64" s="12"/>
      <c r="U64" s="12"/>
    </row>
    <row r="65" spans="1:26" ht="13.5" thickBot="1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>
        <v>3.6</v>
      </c>
      <c r="O65" s="12">
        <v>4</v>
      </c>
      <c r="P65" s="12">
        <f>O65*N65</f>
        <v>14.4</v>
      </c>
      <c r="Q65" s="12"/>
      <c r="R65" s="12"/>
      <c r="S65" s="12"/>
      <c r="T65" s="12"/>
      <c r="U65" s="12"/>
      <c r="V65" s="1">
        <f>12-J65*F65</f>
        <v>12</v>
      </c>
      <c r="W65" s="1">
        <f>+L65*V65</f>
        <v>0</v>
      </c>
      <c r="X65" s="1">
        <f t="shared" si="21"/>
        <v>0</v>
      </c>
      <c r="Y65" s="1">
        <f t="shared" si="22"/>
        <v>0</v>
      </c>
      <c r="Z65" s="2">
        <f t="shared" si="23"/>
        <v>0</v>
      </c>
    </row>
    <row r="66" spans="1:26">
      <c r="A66" s="2" t="s">
        <v>25</v>
      </c>
      <c r="B66" s="29">
        <v>20</v>
      </c>
      <c r="C66" s="30">
        <v>9</v>
      </c>
      <c r="D66" s="30">
        <v>1</v>
      </c>
      <c r="E66" s="30">
        <f>+C66*D66</f>
        <v>9</v>
      </c>
      <c r="F66" s="31">
        <v>4.2</v>
      </c>
      <c r="G66" s="30">
        <f>+F66*E66</f>
        <v>37.800000000000004</v>
      </c>
      <c r="H66" s="30">
        <f>+G66/$G$2</f>
        <v>3.1500000000000004</v>
      </c>
      <c r="I66" s="30">
        <v>4</v>
      </c>
      <c r="J66" s="30">
        <v>2</v>
      </c>
      <c r="K66" s="30">
        <f>+E66/J66</f>
        <v>4.5</v>
      </c>
      <c r="L66" s="32">
        <v>5</v>
      </c>
      <c r="M66" s="12"/>
      <c r="N66" s="12">
        <v>7.8</v>
      </c>
      <c r="O66" s="12">
        <v>1</v>
      </c>
      <c r="P66" s="12">
        <f>O66*N66</f>
        <v>7.8</v>
      </c>
      <c r="Q66" s="12"/>
      <c r="R66" s="12"/>
      <c r="S66" s="12"/>
      <c r="T66" s="12"/>
      <c r="U66" s="12"/>
      <c r="V66" s="2">
        <f>+L66*12/F66-E66</f>
        <v>5.2857142857142847</v>
      </c>
      <c r="W66" s="2">
        <f>+V66*F66</f>
        <v>22.199999999999996</v>
      </c>
      <c r="X66" s="2">
        <f t="shared" si="21"/>
        <v>1.8499999999999996</v>
      </c>
      <c r="Y66" s="2">
        <f t="shared" si="22"/>
        <v>22.199999999999996</v>
      </c>
      <c r="Z66" s="2">
        <f t="shared" si="23"/>
        <v>1.8499999999999996</v>
      </c>
    </row>
    <row r="67" spans="1:26">
      <c r="A67" s="2" t="s">
        <v>26</v>
      </c>
      <c r="B67" s="33">
        <v>20</v>
      </c>
      <c r="C67" s="25">
        <v>8</v>
      </c>
      <c r="D67" s="25">
        <v>1</v>
      </c>
      <c r="E67" s="25">
        <f>+C67*D67</f>
        <v>8</v>
      </c>
      <c r="F67" s="26">
        <v>4.2</v>
      </c>
      <c r="G67" s="25">
        <f>+F67*E67</f>
        <v>33.6</v>
      </c>
      <c r="H67" s="25">
        <f>+G67/$G$2</f>
        <v>2.8000000000000003</v>
      </c>
      <c r="I67" s="25">
        <v>3</v>
      </c>
      <c r="J67" s="25">
        <v>2</v>
      </c>
      <c r="K67" s="25">
        <f>+E67/J67</f>
        <v>4</v>
      </c>
      <c r="L67" s="35">
        <v>4</v>
      </c>
      <c r="M67" s="12"/>
      <c r="N67" s="12">
        <v>3.6</v>
      </c>
      <c r="O67" s="12">
        <v>4</v>
      </c>
      <c r="P67" s="12">
        <f>O67*N67</f>
        <v>14.4</v>
      </c>
      <c r="Q67" s="12"/>
      <c r="R67" s="12"/>
      <c r="S67" s="12"/>
      <c r="T67" s="12"/>
      <c r="U67" s="12"/>
      <c r="V67" s="2">
        <f>+L67*12/F67-E67</f>
        <v>3.4285714285714288</v>
      </c>
      <c r="W67" s="2">
        <f>+V67*F67</f>
        <v>14.400000000000002</v>
      </c>
      <c r="X67" s="2">
        <f t="shared" si="21"/>
        <v>1.1999999999999997</v>
      </c>
      <c r="Y67" s="2">
        <f t="shared" si="22"/>
        <v>14.399999999999997</v>
      </c>
      <c r="Z67" s="2">
        <f t="shared" si="23"/>
        <v>1.1999999999999997</v>
      </c>
    </row>
    <row r="68" spans="1:26" ht="13.5" thickBot="1">
      <c r="A68" s="2" t="s">
        <v>15</v>
      </c>
      <c r="B68" s="37">
        <v>20</v>
      </c>
      <c r="C68" s="38">
        <v>3</v>
      </c>
      <c r="D68" s="38">
        <v>1</v>
      </c>
      <c r="E68" s="38">
        <f>+C68*D68</f>
        <v>3</v>
      </c>
      <c r="F68" s="39">
        <v>6</v>
      </c>
      <c r="G68" s="38">
        <f>+F68*E68</f>
        <v>18</v>
      </c>
      <c r="H68" s="38">
        <f>+G68/$G$2</f>
        <v>1.5</v>
      </c>
      <c r="I68" s="38">
        <v>2</v>
      </c>
      <c r="J68" s="38">
        <v>2</v>
      </c>
      <c r="K68" s="38">
        <f>+E68/J68</f>
        <v>1.5</v>
      </c>
      <c r="L68" s="46">
        <v>2</v>
      </c>
      <c r="M68" s="12"/>
      <c r="N68" s="12">
        <v>6</v>
      </c>
      <c r="O68" s="12">
        <v>1</v>
      </c>
      <c r="P68" s="12">
        <f>O68*N68</f>
        <v>6</v>
      </c>
      <c r="Q68" s="12"/>
      <c r="R68" s="12"/>
      <c r="S68" s="12"/>
      <c r="T68" s="12"/>
      <c r="U68" s="12"/>
      <c r="V68" s="2">
        <f>+L68*12/F68-E68</f>
        <v>1</v>
      </c>
      <c r="W68" s="2">
        <f>+V68*F68</f>
        <v>6</v>
      </c>
      <c r="X68" s="2">
        <f t="shared" si="21"/>
        <v>0.5</v>
      </c>
      <c r="Y68" s="2">
        <f t="shared" si="22"/>
        <v>6</v>
      </c>
      <c r="Z68" s="2">
        <f t="shared" si="23"/>
        <v>0.5</v>
      </c>
    </row>
    <row r="69" spans="1:26" ht="13.5" thickBot="1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>
        <f>SUM(L65:L68)</f>
        <v>11</v>
      </c>
      <c r="N69" s="12"/>
      <c r="O69" s="12"/>
      <c r="P69" s="12">
        <f>SUM(P64:P68)</f>
        <v>42.6</v>
      </c>
      <c r="Q69" s="12">
        <f>P69/12</f>
        <v>3.5500000000000003</v>
      </c>
      <c r="R69" s="12"/>
      <c r="S69" s="12"/>
      <c r="T69" s="12"/>
      <c r="U69" s="12"/>
    </row>
    <row r="70" spans="1:26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>
        <v>2</v>
      </c>
      <c r="M70" s="13"/>
      <c r="N70" s="12"/>
      <c r="O70" s="12"/>
      <c r="P70" s="12"/>
      <c r="Q70" s="12"/>
      <c r="R70" s="12"/>
      <c r="S70" s="12"/>
      <c r="T70" s="12"/>
      <c r="U70" s="12"/>
    </row>
    <row r="71" spans="1:26" ht="13.5" thickBot="1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6" ht="18.75" thickBot="1">
      <c r="B72" s="22">
        <v>20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1">
        <f>M69-L70</f>
        <v>9</v>
      </c>
      <c r="N72" s="12"/>
      <c r="O72" s="12"/>
      <c r="P72" s="12"/>
      <c r="Q72" s="12"/>
      <c r="R72" s="12"/>
      <c r="S72" s="12"/>
      <c r="T72" s="12"/>
      <c r="U72" s="12"/>
    </row>
    <row r="73" spans="1:26">
      <c r="B73" s="2"/>
      <c r="C73" s="2"/>
      <c r="E73" s="2"/>
      <c r="F73" s="2"/>
      <c r="G73" s="2"/>
      <c r="H73" s="2"/>
      <c r="I73" s="2"/>
      <c r="J73" s="2"/>
      <c r="K73" s="2"/>
      <c r="M73" s="12"/>
      <c r="N73" s="12">
        <v>2.2000000000000002</v>
      </c>
      <c r="O73" s="12">
        <v>1</v>
      </c>
      <c r="P73" s="12">
        <f t="shared" ref="P73:P79" si="24">O73*N73</f>
        <v>2.2000000000000002</v>
      </c>
      <c r="Q73" s="12"/>
      <c r="R73" s="12"/>
      <c r="S73" s="12"/>
      <c r="T73" s="12"/>
      <c r="U73" s="12"/>
    </row>
    <row r="74" spans="1:26" ht="13.5" thickBot="1">
      <c r="B74" s="2"/>
      <c r="C74" s="2"/>
      <c r="E74" s="2"/>
      <c r="F74" s="2"/>
      <c r="G74" s="2"/>
      <c r="H74" s="2"/>
      <c r="I74" s="2"/>
      <c r="J74" s="2"/>
      <c r="K74" s="2"/>
      <c r="N74" s="12">
        <v>7.1</v>
      </c>
      <c r="O74" s="12">
        <v>1</v>
      </c>
      <c r="P74" s="12">
        <f t="shared" si="24"/>
        <v>7.1</v>
      </c>
    </row>
    <row r="75" spans="1:26">
      <c r="A75" s="2" t="s">
        <v>15</v>
      </c>
      <c r="B75" s="29">
        <v>25</v>
      </c>
      <c r="C75" s="30">
        <v>3</v>
      </c>
      <c r="D75" s="30">
        <v>1</v>
      </c>
      <c r="E75" s="30">
        <f>+C75*D75</f>
        <v>3</v>
      </c>
      <c r="F75" s="31">
        <v>4.9000000000000004</v>
      </c>
      <c r="G75" s="30">
        <f>+F75*E75</f>
        <v>14.700000000000001</v>
      </c>
      <c r="H75" s="30">
        <f>+G75/$G$2</f>
        <v>1.2250000000000001</v>
      </c>
      <c r="I75" s="30">
        <v>2</v>
      </c>
      <c r="J75" s="30">
        <v>2</v>
      </c>
      <c r="K75" s="30">
        <f>+E75/J75</f>
        <v>1.5</v>
      </c>
      <c r="L75" s="32">
        <v>2</v>
      </c>
      <c r="M75" s="12"/>
      <c r="N75" s="12">
        <v>4.95</v>
      </c>
      <c r="O75" s="12">
        <v>2</v>
      </c>
      <c r="P75" s="12">
        <f t="shared" si="24"/>
        <v>9.9</v>
      </c>
      <c r="Q75" s="12"/>
      <c r="R75" s="12"/>
      <c r="S75" s="12"/>
      <c r="T75" s="12"/>
      <c r="U75" s="12"/>
      <c r="V75" s="2">
        <f>+L75*12/F75-E75</f>
        <v>1.8979591836734686</v>
      </c>
      <c r="W75" s="2">
        <f>+V75*F75</f>
        <v>9.2999999999999972</v>
      </c>
      <c r="X75" s="2">
        <f>+L75-H75</f>
        <v>0.77499999999999991</v>
      </c>
      <c r="Y75" s="2">
        <f>+X75*$G$2</f>
        <v>9.2999999999999989</v>
      </c>
      <c r="Z75" s="2">
        <f t="shared" si="23"/>
        <v>0.77499999999999991</v>
      </c>
    </row>
    <row r="76" spans="1:26">
      <c r="A76" s="2" t="s">
        <v>15</v>
      </c>
      <c r="B76" s="33">
        <v>25</v>
      </c>
      <c r="C76" s="25">
        <v>2</v>
      </c>
      <c r="D76" s="25">
        <v>1</v>
      </c>
      <c r="E76" s="25">
        <f>+C76*D76</f>
        <v>2</v>
      </c>
      <c r="F76" s="26">
        <v>7.05</v>
      </c>
      <c r="G76" s="25">
        <f>+F76*E76</f>
        <v>14.1</v>
      </c>
      <c r="H76" s="25">
        <f>+G76/$G$2</f>
        <v>1.175</v>
      </c>
      <c r="I76" s="25">
        <v>2</v>
      </c>
      <c r="J76" s="25">
        <v>2</v>
      </c>
      <c r="K76" s="25">
        <f>+E76/J76</f>
        <v>1</v>
      </c>
      <c r="L76" s="35">
        <v>2</v>
      </c>
      <c r="M76" s="12"/>
      <c r="N76" s="12">
        <v>2.1</v>
      </c>
      <c r="O76" s="12">
        <v>1</v>
      </c>
      <c r="P76" s="12">
        <f t="shared" si="24"/>
        <v>2.1</v>
      </c>
      <c r="Q76" s="12"/>
      <c r="R76" s="12"/>
      <c r="S76" s="12"/>
      <c r="T76" s="12"/>
      <c r="U76" s="12"/>
      <c r="V76" s="2">
        <f>+L76*12/F76-E76</f>
        <v>1.4042553191489362</v>
      </c>
      <c r="W76" s="2">
        <f>+V76*F76</f>
        <v>9.9</v>
      </c>
      <c r="X76" s="2">
        <f>+L76-H76</f>
        <v>0.82499999999999996</v>
      </c>
      <c r="Y76" s="2">
        <f>+X76*$G$2</f>
        <v>9.8999999999999986</v>
      </c>
      <c r="Z76" s="2">
        <f t="shared" si="23"/>
        <v>0.82499999999999984</v>
      </c>
    </row>
    <row r="77" spans="1:26">
      <c r="A77" s="2" t="s">
        <v>15</v>
      </c>
      <c r="B77" s="33">
        <v>25</v>
      </c>
      <c r="C77" s="25">
        <v>3</v>
      </c>
      <c r="D77" s="25">
        <v>1</v>
      </c>
      <c r="E77" s="25">
        <f>+C77*D77</f>
        <v>3</v>
      </c>
      <c r="F77" s="26">
        <v>4.95</v>
      </c>
      <c r="G77" s="25">
        <f>+F77*E77</f>
        <v>14.850000000000001</v>
      </c>
      <c r="H77" s="25">
        <f>+G77/$G$2</f>
        <v>1.2375</v>
      </c>
      <c r="I77" s="25">
        <v>3</v>
      </c>
      <c r="J77" s="25">
        <v>2</v>
      </c>
      <c r="K77" s="25">
        <f>+E77/J77</f>
        <v>1.5</v>
      </c>
      <c r="L77" s="35">
        <v>2</v>
      </c>
      <c r="M77" s="12"/>
      <c r="N77" s="12">
        <v>7.05</v>
      </c>
      <c r="O77" s="12">
        <v>1</v>
      </c>
      <c r="P77" s="12">
        <f t="shared" si="24"/>
        <v>7.05</v>
      </c>
      <c r="Q77" s="12"/>
      <c r="R77" s="12"/>
      <c r="S77" s="12"/>
      <c r="T77" s="12"/>
      <c r="U77" s="12"/>
      <c r="V77" s="2">
        <f>+L77*12/F77-E77</f>
        <v>1.8484848484848486</v>
      </c>
      <c r="W77" s="2">
        <f>+V77*F77</f>
        <v>9.15</v>
      </c>
      <c r="X77" s="2">
        <f>+L77-H77</f>
        <v>0.76249999999999996</v>
      </c>
      <c r="Y77" s="2">
        <f>+X77*$G$2</f>
        <v>9.1499999999999986</v>
      </c>
      <c r="Z77" s="2">
        <f t="shared" si="23"/>
        <v>0.76249999999999984</v>
      </c>
    </row>
    <row r="78" spans="1:26">
      <c r="A78" s="2" t="s">
        <v>15</v>
      </c>
      <c r="B78" s="33">
        <v>25</v>
      </c>
      <c r="C78" s="25">
        <v>2</v>
      </c>
      <c r="D78" s="25">
        <v>1</v>
      </c>
      <c r="E78" s="25">
        <f>+C78*D78</f>
        <v>2</v>
      </c>
      <c r="F78" s="26">
        <v>5.4</v>
      </c>
      <c r="G78" s="25">
        <f>+F78*E78</f>
        <v>10.8</v>
      </c>
      <c r="H78" s="25">
        <f>+G78/$G$2</f>
        <v>0.9</v>
      </c>
      <c r="I78" s="25">
        <v>1</v>
      </c>
      <c r="J78" s="25">
        <v>2</v>
      </c>
      <c r="K78" s="25">
        <f>+E78/J78</f>
        <v>1</v>
      </c>
      <c r="L78" s="35">
        <v>1</v>
      </c>
      <c r="M78" s="12"/>
      <c r="N78" s="12">
        <v>1.2</v>
      </c>
      <c r="O78" s="12">
        <v>1</v>
      </c>
      <c r="P78" s="12">
        <f t="shared" si="24"/>
        <v>1.2</v>
      </c>
      <c r="Q78" s="12"/>
      <c r="R78" s="12"/>
      <c r="S78" s="12"/>
      <c r="T78" s="12"/>
      <c r="U78" s="12"/>
      <c r="V78" s="2">
        <f>+L78*12/F78-E78</f>
        <v>0.22222222222222188</v>
      </c>
      <c r="W78" s="2">
        <f>+V78*F78</f>
        <v>1.1999999999999982</v>
      </c>
      <c r="X78" s="2">
        <f>+L78-H78</f>
        <v>9.9999999999999978E-2</v>
      </c>
      <c r="Y78" s="2">
        <f>+X78*$G$2</f>
        <v>1.1999999999999997</v>
      </c>
      <c r="Z78" s="2">
        <f t="shared" si="23"/>
        <v>9.9999999999999978E-2</v>
      </c>
    </row>
    <row r="79" spans="1:26" ht="13.5" thickBot="1">
      <c r="A79" s="2" t="s">
        <v>15</v>
      </c>
      <c r="B79" s="37">
        <v>25</v>
      </c>
      <c r="C79" s="38">
        <v>2</v>
      </c>
      <c r="D79" s="38">
        <v>1</v>
      </c>
      <c r="E79" s="38">
        <f>+C79*D79</f>
        <v>2</v>
      </c>
      <c r="F79" s="39">
        <v>3.3</v>
      </c>
      <c r="G79" s="38">
        <f>+F79*E79</f>
        <v>6.6</v>
      </c>
      <c r="H79" s="38">
        <f>+G79/$G$2</f>
        <v>0.54999999999999993</v>
      </c>
      <c r="I79" s="38">
        <v>1</v>
      </c>
      <c r="J79" s="38">
        <v>2</v>
      </c>
      <c r="K79" s="38">
        <f>+E79/J79</f>
        <v>1</v>
      </c>
      <c r="L79" s="46">
        <v>1</v>
      </c>
      <c r="M79" s="12"/>
      <c r="N79" s="12">
        <v>5.4</v>
      </c>
      <c r="O79" s="12">
        <v>1</v>
      </c>
      <c r="P79" s="12">
        <f t="shared" si="24"/>
        <v>5.4</v>
      </c>
      <c r="Q79" s="12"/>
      <c r="R79" s="12"/>
      <c r="S79" s="12"/>
      <c r="T79" s="12"/>
      <c r="U79" s="12"/>
      <c r="V79" s="2">
        <f>+L79*12/F79-E79</f>
        <v>1.6363636363636367</v>
      </c>
      <c r="W79" s="2">
        <f>+V79*F79</f>
        <v>5.4</v>
      </c>
      <c r="X79" s="2">
        <f>+L79-H79</f>
        <v>0.45000000000000007</v>
      </c>
      <c r="Y79" s="2">
        <f>+X79*$G$2</f>
        <v>5.4</v>
      </c>
      <c r="Z79" s="2">
        <f t="shared" si="23"/>
        <v>0.45</v>
      </c>
    </row>
    <row r="80" spans="1:26" s="12" customFormat="1" ht="13.5" thickBot="1">
      <c r="M80" s="20">
        <f>SUM(L75:L79)</f>
        <v>8</v>
      </c>
      <c r="P80" s="12">
        <f>SUM(P73:P79)</f>
        <v>34.950000000000003</v>
      </c>
      <c r="Q80" s="12">
        <f>P80/12</f>
        <v>2.9125000000000001</v>
      </c>
    </row>
    <row r="81" spans="2:13" s="12" customFormat="1" ht="13.5" thickBot="1">
      <c r="L81" s="12">
        <v>2</v>
      </c>
    </row>
    <row r="82" spans="2:13" s="12" customFormat="1" ht="18.75" thickBot="1">
      <c r="B82" s="22">
        <v>25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1">
        <f>M80-L81</f>
        <v>6</v>
      </c>
    </row>
    <row r="83" spans="2:13" s="12" customFormat="1"/>
    <row r="84" spans="2:13" s="12" customFormat="1"/>
    <row r="85" spans="2:13" s="12" customFormat="1"/>
    <row r="86" spans="2:13" s="12" customFormat="1"/>
    <row r="87" spans="2:13" s="12" customFormat="1"/>
    <row r="88" spans="2:13" s="12" customFormat="1"/>
    <row r="89" spans="2:13" s="12" customFormat="1"/>
    <row r="90" spans="2:13" s="12" customFormat="1"/>
    <row r="91" spans="2:13" s="12" customFormat="1">
      <c r="B91" s="10"/>
      <c r="C91" s="11"/>
      <c r="E91" s="10"/>
      <c r="F91" s="11"/>
      <c r="G91" s="11"/>
      <c r="H91" s="11"/>
      <c r="I91" s="11"/>
      <c r="J91" s="11"/>
      <c r="K91" s="11"/>
    </row>
    <row r="92" spans="2:13" s="12" customFormat="1">
      <c r="B92" s="10"/>
      <c r="C92" s="11"/>
      <c r="E92" s="10"/>
      <c r="F92" s="11"/>
      <c r="G92" s="11"/>
      <c r="H92" s="11"/>
      <c r="I92" s="11"/>
      <c r="J92" s="11"/>
      <c r="K92" s="11"/>
    </row>
    <row r="93" spans="2:13" s="12" customFormat="1">
      <c r="B93" s="10"/>
      <c r="C93" s="11"/>
      <c r="E93" s="10"/>
      <c r="F93" s="11"/>
      <c r="G93" s="11"/>
      <c r="H93" s="11"/>
      <c r="I93" s="11"/>
      <c r="J93" s="11"/>
      <c r="K93" s="11"/>
    </row>
    <row r="94" spans="2:13" s="12" customFormat="1">
      <c r="B94" s="10"/>
      <c r="C94" s="11"/>
      <c r="E94" s="10"/>
      <c r="F94" s="11"/>
      <c r="G94" s="11"/>
      <c r="H94" s="11"/>
      <c r="I94" s="11"/>
      <c r="J94" s="11"/>
      <c r="K94" s="11"/>
    </row>
    <row r="95" spans="2:13" s="12" customFormat="1">
      <c r="B95" s="10"/>
      <c r="C95" s="11"/>
      <c r="E95" s="10"/>
      <c r="F95" s="11"/>
      <c r="G95" s="11"/>
      <c r="H95" s="11"/>
      <c r="I95" s="11"/>
      <c r="J95" s="11"/>
      <c r="K95" s="11"/>
    </row>
    <row r="96" spans="2:13" s="12" customFormat="1">
      <c r="B96" s="10"/>
      <c r="C96" s="11"/>
      <c r="E96" s="10"/>
      <c r="F96" s="11"/>
      <c r="G96" s="11"/>
      <c r="H96" s="11"/>
      <c r="I96" s="11"/>
      <c r="J96" s="11"/>
      <c r="K96" s="11"/>
    </row>
    <row r="97" spans="2:11" s="12" customFormat="1">
      <c r="B97" s="10"/>
      <c r="C97" s="11"/>
      <c r="E97" s="10"/>
      <c r="F97" s="11"/>
      <c r="G97" s="11"/>
      <c r="H97" s="11"/>
      <c r="I97" s="11"/>
      <c r="J97" s="11"/>
      <c r="K97" s="11"/>
    </row>
    <row r="98" spans="2:11" s="12" customFormat="1">
      <c r="B98" s="10"/>
      <c r="C98" s="11"/>
      <c r="E98" s="10"/>
      <c r="F98" s="11"/>
      <c r="G98" s="11"/>
      <c r="H98" s="11"/>
      <c r="I98" s="11"/>
      <c r="J98" s="11"/>
      <c r="K98" s="11"/>
    </row>
    <row r="99" spans="2:11" s="12" customFormat="1">
      <c r="B99" s="10"/>
      <c r="C99" s="11"/>
      <c r="E99" s="10"/>
      <c r="F99" s="11"/>
      <c r="G99" s="11"/>
      <c r="H99" s="11"/>
      <c r="I99" s="11"/>
      <c r="J99" s="11"/>
      <c r="K99" s="11"/>
    </row>
    <row r="100" spans="2:11" s="12" customFormat="1">
      <c r="B100" s="10"/>
      <c r="C100" s="11"/>
      <c r="E100" s="10"/>
      <c r="F100" s="11"/>
      <c r="G100" s="11"/>
      <c r="H100" s="11"/>
      <c r="I100" s="11"/>
      <c r="J100" s="11"/>
      <c r="K100" s="11"/>
    </row>
    <row r="101" spans="2:11" s="12" customFormat="1">
      <c r="B101" s="10"/>
      <c r="C101" s="11"/>
      <c r="E101" s="10"/>
      <c r="F101" s="11"/>
      <c r="G101" s="11"/>
      <c r="H101" s="11"/>
      <c r="I101" s="11"/>
      <c r="J101" s="11"/>
      <c r="K101" s="11"/>
    </row>
    <row r="102" spans="2:11" s="12" customFormat="1">
      <c r="B102" s="10"/>
      <c r="C102" s="11"/>
      <c r="E102" s="10"/>
      <c r="F102" s="11"/>
      <c r="G102" s="11"/>
      <c r="H102" s="11"/>
      <c r="I102" s="11"/>
      <c r="J102" s="11"/>
      <c r="K102" s="11"/>
    </row>
    <row r="103" spans="2:11" s="12" customFormat="1">
      <c r="B103" s="10"/>
      <c r="C103" s="11"/>
      <c r="E103" s="10"/>
      <c r="F103" s="11"/>
      <c r="G103" s="11"/>
      <c r="H103" s="11"/>
      <c r="I103" s="11"/>
      <c r="J103" s="11"/>
      <c r="K103" s="11"/>
    </row>
    <row r="104" spans="2:11" s="12" customFormat="1">
      <c r="B104" s="10"/>
      <c r="C104" s="11"/>
      <c r="E104" s="10"/>
      <c r="F104" s="11"/>
      <c r="G104" s="11"/>
      <c r="H104" s="11"/>
      <c r="I104" s="11"/>
      <c r="J104" s="11"/>
      <c r="K104" s="11"/>
    </row>
    <row r="105" spans="2:11" s="12" customFormat="1">
      <c r="B105" s="10"/>
      <c r="C105" s="11"/>
      <c r="E105" s="10"/>
      <c r="F105" s="11"/>
      <c r="G105" s="11"/>
      <c r="H105" s="11"/>
      <c r="I105" s="11"/>
      <c r="J105" s="11"/>
      <c r="K105" s="11"/>
    </row>
    <row r="106" spans="2:11" s="12" customFormat="1">
      <c r="B106" s="10"/>
      <c r="C106" s="11"/>
      <c r="E106" s="10"/>
      <c r="F106" s="11"/>
      <c r="G106" s="11"/>
      <c r="H106" s="11"/>
      <c r="I106" s="11"/>
      <c r="J106" s="11"/>
      <c r="K106" s="11"/>
    </row>
    <row r="107" spans="2:11" s="12" customFormat="1">
      <c r="B107" s="10"/>
      <c r="C107" s="11"/>
      <c r="E107" s="10"/>
      <c r="F107" s="11"/>
      <c r="G107" s="11"/>
      <c r="H107" s="11"/>
      <c r="I107" s="11"/>
      <c r="J107" s="11"/>
      <c r="K107" s="11"/>
    </row>
    <row r="108" spans="2:11" s="12" customFormat="1">
      <c r="B108" s="10"/>
      <c r="C108" s="11"/>
      <c r="E108" s="10"/>
      <c r="F108" s="11"/>
      <c r="G108" s="11"/>
      <c r="H108" s="11"/>
      <c r="I108" s="11"/>
      <c r="J108" s="11"/>
      <c r="K108" s="11"/>
    </row>
    <row r="109" spans="2:11" s="12" customFormat="1">
      <c r="B109" s="10"/>
      <c r="C109" s="11"/>
      <c r="E109" s="10"/>
      <c r="F109" s="11"/>
      <c r="G109" s="11"/>
      <c r="H109" s="11"/>
      <c r="I109" s="11"/>
      <c r="J109" s="11"/>
      <c r="K109" s="11"/>
    </row>
    <row r="110" spans="2:11" s="12" customFormat="1">
      <c r="B110" s="10"/>
      <c r="C110" s="11"/>
      <c r="E110" s="10"/>
      <c r="F110" s="11"/>
      <c r="G110" s="11"/>
      <c r="H110" s="11"/>
      <c r="I110" s="11"/>
      <c r="J110" s="11"/>
      <c r="K110" s="11"/>
    </row>
    <row r="111" spans="2:11" s="12" customFormat="1">
      <c r="B111" s="10"/>
      <c r="C111" s="11"/>
      <c r="E111" s="10"/>
      <c r="F111" s="11"/>
      <c r="G111" s="11"/>
      <c r="H111" s="11"/>
      <c r="I111" s="11"/>
      <c r="J111" s="11"/>
      <c r="K111" s="11"/>
    </row>
    <row r="112" spans="2:11" s="12" customFormat="1">
      <c r="B112" s="10"/>
      <c r="C112" s="11"/>
      <c r="E112" s="10"/>
      <c r="F112" s="11"/>
      <c r="G112" s="11"/>
      <c r="H112" s="11"/>
      <c r="I112" s="11"/>
      <c r="J112" s="11"/>
      <c r="K112" s="11"/>
    </row>
    <row r="113" spans="2:11" s="12" customFormat="1">
      <c r="B113" s="10"/>
      <c r="C113" s="11"/>
      <c r="E113" s="10"/>
      <c r="F113" s="11"/>
      <c r="G113" s="11"/>
      <c r="H113" s="11"/>
      <c r="I113" s="11"/>
      <c r="J113" s="11"/>
      <c r="K113" s="11"/>
    </row>
    <row r="114" spans="2:11" s="12" customFormat="1">
      <c r="B114" s="10"/>
      <c r="C114" s="11"/>
      <c r="E114" s="10"/>
      <c r="F114" s="11"/>
      <c r="G114" s="11"/>
      <c r="H114" s="11"/>
      <c r="I114" s="11"/>
      <c r="J114" s="11"/>
      <c r="K114" s="11"/>
    </row>
    <row r="115" spans="2:11" s="12" customFormat="1">
      <c r="B115" s="10"/>
      <c r="C115" s="11"/>
      <c r="E115" s="10"/>
      <c r="F115" s="11"/>
      <c r="G115" s="11"/>
      <c r="H115" s="11"/>
      <c r="I115" s="11"/>
      <c r="J115" s="11"/>
      <c r="K115" s="11"/>
    </row>
    <row r="116" spans="2:11" s="12" customFormat="1">
      <c r="B116" s="10"/>
      <c r="C116" s="11"/>
      <c r="E116" s="10"/>
      <c r="F116" s="11"/>
      <c r="G116" s="11"/>
      <c r="H116" s="11"/>
      <c r="I116" s="11"/>
      <c r="J116" s="11"/>
      <c r="K116" s="11"/>
    </row>
    <row r="117" spans="2:11" s="12" customFormat="1">
      <c r="B117" s="10"/>
      <c r="C117" s="11"/>
      <c r="E117" s="10"/>
      <c r="F117" s="11"/>
      <c r="G117" s="11"/>
      <c r="H117" s="11"/>
      <c r="I117" s="11"/>
      <c r="J117" s="11"/>
      <c r="K117" s="11"/>
    </row>
    <row r="118" spans="2:11" s="12" customFormat="1">
      <c r="B118" s="10"/>
      <c r="C118" s="11"/>
      <c r="E118" s="10"/>
      <c r="F118" s="11"/>
      <c r="G118" s="11"/>
      <c r="H118" s="11"/>
      <c r="I118" s="11"/>
      <c r="J118" s="11"/>
      <c r="K118" s="11"/>
    </row>
    <row r="119" spans="2:11" s="12" customFormat="1">
      <c r="B119" s="10"/>
      <c r="C119" s="11"/>
      <c r="E119" s="10"/>
      <c r="F119" s="11"/>
      <c r="G119" s="11"/>
      <c r="H119" s="11"/>
      <c r="I119" s="11"/>
      <c r="J119" s="11"/>
      <c r="K119" s="11"/>
    </row>
    <row r="120" spans="2:11" s="12" customFormat="1">
      <c r="B120" s="10"/>
      <c r="C120" s="11"/>
      <c r="E120" s="10"/>
      <c r="F120" s="11"/>
      <c r="G120" s="11"/>
      <c r="H120" s="11"/>
      <c r="I120" s="11"/>
      <c r="J120" s="11"/>
      <c r="K120" s="11"/>
    </row>
    <row r="121" spans="2:11" s="12" customFormat="1">
      <c r="B121" s="10"/>
      <c r="C121" s="11"/>
      <c r="E121" s="10"/>
      <c r="F121" s="11"/>
      <c r="G121" s="11"/>
      <c r="H121" s="11"/>
      <c r="I121" s="11"/>
      <c r="J121" s="11"/>
      <c r="K121" s="11"/>
    </row>
    <row r="122" spans="2:11" s="12" customFormat="1">
      <c r="B122" s="10"/>
      <c r="C122" s="11"/>
      <c r="E122" s="10"/>
      <c r="F122" s="11"/>
      <c r="G122" s="11"/>
      <c r="H122" s="11"/>
      <c r="I122" s="11"/>
      <c r="J122" s="11"/>
      <c r="K122" s="11"/>
    </row>
    <row r="123" spans="2:11" s="12" customFormat="1">
      <c r="B123" s="10"/>
      <c r="C123" s="11"/>
      <c r="E123" s="10"/>
      <c r="F123" s="11"/>
      <c r="G123" s="11"/>
      <c r="H123" s="11"/>
      <c r="I123" s="11"/>
      <c r="J123" s="11"/>
      <c r="K123" s="11"/>
    </row>
    <row r="124" spans="2:11" s="12" customFormat="1">
      <c r="B124" s="10"/>
      <c r="C124" s="11"/>
      <c r="E124" s="10"/>
      <c r="F124" s="11"/>
      <c r="G124" s="11"/>
      <c r="H124" s="11"/>
      <c r="I124" s="11"/>
      <c r="J124" s="11"/>
      <c r="K124" s="11"/>
    </row>
    <row r="125" spans="2:11" s="12" customFormat="1">
      <c r="B125" s="10"/>
      <c r="C125" s="11"/>
      <c r="E125" s="10"/>
      <c r="F125" s="11"/>
      <c r="G125" s="11"/>
      <c r="H125" s="11"/>
      <c r="I125" s="11"/>
      <c r="J125" s="11"/>
      <c r="K125" s="11"/>
    </row>
    <row r="126" spans="2:11" s="12" customFormat="1">
      <c r="B126" s="10"/>
      <c r="C126" s="11"/>
      <c r="E126" s="10"/>
      <c r="F126" s="11"/>
      <c r="G126" s="11"/>
      <c r="H126" s="11"/>
      <c r="I126" s="11"/>
      <c r="J126" s="11"/>
      <c r="K126" s="11"/>
    </row>
    <row r="127" spans="2:11" s="12" customFormat="1">
      <c r="B127" s="10"/>
      <c r="C127" s="11"/>
      <c r="E127" s="10"/>
      <c r="F127" s="11"/>
      <c r="G127" s="11"/>
      <c r="H127" s="11"/>
      <c r="I127" s="11"/>
      <c r="J127" s="11"/>
      <c r="K127" s="11"/>
    </row>
    <row r="128" spans="2:11" s="12" customFormat="1">
      <c r="B128" s="10"/>
      <c r="C128" s="11"/>
      <c r="E128" s="10"/>
      <c r="F128" s="11"/>
      <c r="G128" s="11"/>
      <c r="H128" s="11"/>
      <c r="I128" s="11"/>
      <c r="J128" s="11"/>
      <c r="K128" s="11"/>
    </row>
    <row r="129" spans="2:11" s="12" customFormat="1">
      <c r="B129" s="10"/>
      <c r="C129" s="11"/>
      <c r="E129" s="10"/>
      <c r="F129" s="11"/>
      <c r="G129" s="11"/>
      <c r="H129" s="11"/>
      <c r="I129" s="11"/>
      <c r="J129" s="11"/>
      <c r="K129" s="11"/>
    </row>
    <row r="130" spans="2:11" s="12" customFormat="1">
      <c r="B130" s="10"/>
      <c r="C130" s="11"/>
      <c r="E130" s="10"/>
      <c r="F130" s="11"/>
      <c r="G130" s="11"/>
      <c r="H130" s="11"/>
      <c r="I130" s="11"/>
      <c r="J130" s="11"/>
      <c r="K130" s="11"/>
    </row>
    <row r="131" spans="2:11" s="12" customFormat="1">
      <c r="B131" s="10"/>
      <c r="C131" s="11"/>
      <c r="E131" s="10"/>
      <c r="F131" s="11"/>
      <c r="G131" s="11"/>
      <c r="H131" s="11"/>
      <c r="I131" s="11"/>
      <c r="J131" s="11"/>
      <c r="K131" s="11"/>
    </row>
    <row r="132" spans="2:11" s="12" customFormat="1">
      <c r="B132" s="10"/>
      <c r="C132" s="11"/>
      <c r="E132" s="10"/>
      <c r="F132" s="11"/>
      <c r="G132" s="11"/>
      <c r="H132" s="11"/>
      <c r="I132" s="11"/>
      <c r="J132" s="11"/>
      <c r="K132" s="11"/>
    </row>
    <row r="133" spans="2:11" s="12" customFormat="1">
      <c r="B133" s="10"/>
      <c r="C133" s="11"/>
      <c r="E133" s="10"/>
      <c r="F133" s="11"/>
      <c r="G133" s="11"/>
      <c r="H133" s="11"/>
      <c r="I133" s="11"/>
      <c r="J133" s="11"/>
      <c r="K133" s="11"/>
    </row>
    <row r="134" spans="2:11" s="12" customFormat="1">
      <c r="B134" s="10"/>
      <c r="C134" s="11"/>
      <c r="E134" s="10"/>
      <c r="F134" s="11"/>
      <c r="G134" s="11"/>
      <c r="H134" s="11"/>
      <c r="I134" s="11"/>
      <c r="J134" s="11"/>
      <c r="K134" s="11"/>
    </row>
    <row r="135" spans="2:11" s="12" customFormat="1">
      <c r="B135" s="10"/>
      <c r="C135" s="11"/>
      <c r="E135" s="10"/>
      <c r="F135" s="11"/>
      <c r="G135" s="11"/>
      <c r="H135" s="11"/>
      <c r="I135" s="11"/>
      <c r="J135" s="11"/>
      <c r="K135" s="11"/>
    </row>
    <row r="136" spans="2:11" s="12" customFormat="1">
      <c r="B136" s="10"/>
      <c r="C136" s="11"/>
      <c r="E136" s="10"/>
      <c r="F136" s="11"/>
      <c r="G136" s="11"/>
      <c r="H136" s="11"/>
      <c r="I136" s="11"/>
      <c r="J136" s="11"/>
      <c r="K136" s="11"/>
    </row>
    <row r="137" spans="2:11" s="12" customFormat="1">
      <c r="B137" s="10"/>
      <c r="C137" s="11"/>
      <c r="E137" s="10"/>
      <c r="F137" s="11"/>
      <c r="G137" s="11"/>
      <c r="H137" s="11"/>
      <c r="I137" s="11"/>
      <c r="J137" s="11"/>
      <c r="K137" s="11"/>
    </row>
    <row r="138" spans="2:11" s="12" customFormat="1">
      <c r="B138" s="10"/>
      <c r="C138" s="11"/>
      <c r="E138" s="10"/>
      <c r="F138" s="11"/>
      <c r="G138" s="11"/>
      <c r="H138" s="11"/>
      <c r="I138" s="11"/>
      <c r="J138" s="11"/>
      <c r="K138" s="11"/>
    </row>
    <row r="139" spans="2:11" s="12" customFormat="1">
      <c r="B139" s="10"/>
      <c r="C139" s="11"/>
      <c r="E139" s="10"/>
      <c r="F139" s="11"/>
      <c r="G139" s="11"/>
      <c r="H139" s="11"/>
      <c r="I139" s="11"/>
      <c r="J139" s="11"/>
      <c r="K139" s="11"/>
    </row>
    <row r="140" spans="2:11" s="12" customFormat="1">
      <c r="B140" s="10"/>
      <c r="C140" s="11"/>
      <c r="E140" s="10"/>
      <c r="F140" s="11"/>
      <c r="G140" s="11"/>
      <c r="H140" s="11"/>
      <c r="I140" s="11"/>
      <c r="J140" s="11"/>
      <c r="K140" s="11"/>
    </row>
    <row r="141" spans="2:11" s="12" customFormat="1">
      <c r="B141" s="10"/>
      <c r="C141" s="11"/>
      <c r="E141" s="10"/>
      <c r="F141" s="11"/>
      <c r="G141" s="11"/>
      <c r="H141" s="11"/>
      <c r="I141" s="11"/>
      <c r="J141" s="11"/>
      <c r="K141" s="11"/>
    </row>
    <row r="142" spans="2:11" s="12" customFormat="1">
      <c r="B142" s="10"/>
      <c r="C142" s="11"/>
      <c r="E142" s="10"/>
      <c r="F142" s="11"/>
      <c r="G142" s="11"/>
      <c r="H142" s="11"/>
      <c r="I142" s="11"/>
      <c r="J142" s="11"/>
      <c r="K142" s="11"/>
    </row>
    <row r="143" spans="2:11" s="12" customFormat="1">
      <c r="B143" s="10"/>
      <c r="C143" s="11"/>
      <c r="E143" s="10"/>
      <c r="F143" s="11"/>
      <c r="G143" s="11"/>
      <c r="H143" s="11"/>
      <c r="I143" s="11"/>
      <c r="J143" s="11"/>
      <c r="K143" s="11"/>
    </row>
    <row r="144" spans="2:11" s="12" customFormat="1">
      <c r="B144" s="10"/>
      <c r="C144" s="11"/>
      <c r="E144" s="10"/>
      <c r="F144" s="11"/>
      <c r="G144" s="11"/>
      <c r="H144" s="11"/>
      <c r="I144" s="11"/>
      <c r="J144" s="11"/>
      <c r="K144" s="11"/>
    </row>
    <row r="145" spans="2:11" s="12" customFormat="1">
      <c r="B145" s="10"/>
      <c r="C145" s="11"/>
      <c r="E145" s="10"/>
      <c r="F145" s="11"/>
      <c r="G145" s="11"/>
      <c r="H145" s="11"/>
      <c r="I145" s="11"/>
      <c r="J145" s="11"/>
      <c r="K145" s="11"/>
    </row>
    <row r="146" spans="2:11" s="12" customFormat="1">
      <c r="B146" s="10"/>
      <c r="C146" s="11"/>
      <c r="E146" s="10"/>
      <c r="F146" s="11"/>
      <c r="G146" s="11"/>
      <c r="H146" s="11"/>
      <c r="I146" s="11"/>
      <c r="J146" s="11"/>
      <c r="K146" s="11"/>
    </row>
    <row r="147" spans="2:11" s="12" customFormat="1">
      <c r="B147" s="10"/>
      <c r="C147" s="11"/>
      <c r="E147" s="10"/>
      <c r="F147" s="11"/>
      <c r="G147" s="11"/>
      <c r="H147" s="11"/>
      <c r="I147" s="11"/>
      <c r="J147" s="11"/>
      <c r="K147" s="11"/>
    </row>
    <row r="148" spans="2:11" s="12" customFormat="1">
      <c r="B148" s="10"/>
      <c r="C148" s="11"/>
      <c r="E148" s="10"/>
      <c r="F148" s="11"/>
      <c r="G148" s="11"/>
      <c r="H148" s="11"/>
      <c r="I148" s="11"/>
      <c r="J148" s="11"/>
      <c r="K148" s="11"/>
    </row>
    <row r="149" spans="2:11" s="12" customFormat="1">
      <c r="B149" s="10"/>
      <c r="C149" s="11"/>
      <c r="E149" s="10"/>
      <c r="F149" s="11"/>
      <c r="G149" s="11"/>
      <c r="H149" s="11"/>
      <c r="I149" s="11"/>
      <c r="J149" s="11"/>
      <c r="K149" s="11"/>
    </row>
    <row r="150" spans="2:11" s="12" customFormat="1">
      <c r="B150" s="10"/>
      <c r="C150" s="11"/>
      <c r="E150" s="10"/>
      <c r="F150" s="11"/>
      <c r="G150" s="11"/>
      <c r="H150" s="11"/>
      <c r="I150" s="11"/>
      <c r="J150" s="11"/>
      <c r="K150" s="11"/>
    </row>
    <row r="151" spans="2:11" s="12" customFormat="1">
      <c r="B151" s="10"/>
      <c r="C151" s="11"/>
      <c r="E151" s="10"/>
      <c r="F151" s="11"/>
      <c r="G151" s="11"/>
      <c r="H151" s="11"/>
      <c r="I151" s="11"/>
      <c r="J151" s="11"/>
      <c r="K151" s="11"/>
    </row>
    <row r="152" spans="2:11" s="12" customFormat="1">
      <c r="B152" s="10"/>
      <c r="C152" s="11"/>
      <c r="E152" s="10"/>
      <c r="F152" s="11"/>
      <c r="G152" s="11"/>
      <c r="H152" s="11"/>
      <c r="I152" s="11"/>
      <c r="J152" s="11"/>
      <c r="K152" s="11"/>
    </row>
    <row r="153" spans="2:11" s="12" customFormat="1">
      <c r="B153" s="10"/>
      <c r="C153" s="11"/>
      <c r="E153" s="10"/>
      <c r="F153" s="11"/>
      <c r="G153" s="11"/>
      <c r="H153" s="11"/>
      <c r="I153" s="11"/>
      <c r="J153" s="11"/>
      <c r="K153" s="11"/>
    </row>
    <row r="154" spans="2:11" s="12" customFormat="1">
      <c r="B154" s="10"/>
      <c r="C154" s="11"/>
      <c r="E154" s="10"/>
      <c r="F154" s="11"/>
      <c r="G154" s="11"/>
      <c r="H154" s="11"/>
      <c r="I154" s="11"/>
      <c r="J154" s="11"/>
      <c r="K154" s="11"/>
    </row>
    <row r="155" spans="2:11" s="12" customFormat="1">
      <c r="B155" s="10"/>
      <c r="C155" s="11"/>
      <c r="E155" s="10"/>
      <c r="F155" s="11"/>
      <c r="G155" s="11"/>
      <c r="H155" s="11"/>
      <c r="I155" s="11"/>
      <c r="J155" s="11"/>
      <c r="K155" s="11"/>
    </row>
    <row r="156" spans="2:11" s="12" customFormat="1">
      <c r="B156" s="10"/>
      <c r="C156" s="11"/>
      <c r="E156" s="10"/>
      <c r="F156" s="11"/>
      <c r="G156" s="11"/>
      <c r="H156" s="11"/>
      <c r="I156" s="11"/>
      <c r="J156" s="11"/>
      <c r="K156" s="11"/>
    </row>
    <row r="157" spans="2:11" s="12" customFormat="1">
      <c r="B157" s="10"/>
      <c r="C157" s="11"/>
      <c r="E157" s="10"/>
      <c r="F157" s="11"/>
      <c r="G157" s="11"/>
      <c r="H157" s="11"/>
      <c r="I157" s="11"/>
      <c r="J157" s="11"/>
      <c r="K157" s="11"/>
    </row>
    <row r="158" spans="2:11" s="12" customFormat="1">
      <c r="B158" s="10"/>
      <c r="C158" s="11"/>
      <c r="E158" s="10"/>
      <c r="F158" s="11"/>
      <c r="G158" s="11"/>
      <c r="H158" s="11"/>
      <c r="I158" s="11"/>
      <c r="J158" s="11"/>
      <c r="K158" s="11"/>
    </row>
    <row r="159" spans="2:11" s="12" customFormat="1">
      <c r="B159" s="10"/>
      <c r="C159" s="11"/>
      <c r="E159" s="10"/>
      <c r="F159" s="11"/>
      <c r="G159" s="11"/>
      <c r="H159" s="11"/>
      <c r="I159" s="11"/>
      <c r="J159" s="11"/>
      <c r="K159" s="11"/>
    </row>
    <row r="160" spans="2:11" s="12" customFormat="1">
      <c r="B160" s="10"/>
      <c r="C160" s="11"/>
      <c r="E160" s="10"/>
      <c r="F160" s="11"/>
      <c r="G160" s="11"/>
      <c r="H160" s="11"/>
      <c r="I160" s="11"/>
      <c r="J160" s="11"/>
      <c r="K160" s="11"/>
    </row>
    <row r="161" spans="2:11" s="12" customFormat="1">
      <c r="B161" s="10"/>
      <c r="C161" s="11"/>
      <c r="E161" s="10"/>
      <c r="F161" s="11"/>
      <c r="G161" s="11"/>
      <c r="H161" s="11"/>
      <c r="I161" s="11"/>
      <c r="J161" s="11"/>
      <c r="K161" s="11"/>
    </row>
    <row r="162" spans="2:11" s="12" customFormat="1">
      <c r="B162" s="10"/>
      <c r="C162" s="11"/>
      <c r="E162" s="10"/>
      <c r="F162" s="11"/>
      <c r="G162" s="11"/>
      <c r="H162" s="11"/>
      <c r="I162" s="11"/>
      <c r="J162" s="11"/>
      <c r="K162" s="11"/>
    </row>
    <row r="163" spans="2:11" s="12" customFormat="1">
      <c r="B163" s="10"/>
      <c r="C163" s="11"/>
      <c r="E163" s="10"/>
      <c r="F163" s="11"/>
      <c r="G163" s="11"/>
      <c r="H163" s="11"/>
      <c r="I163" s="11"/>
      <c r="J163" s="11"/>
      <c r="K163" s="11"/>
    </row>
    <row r="164" spans="2:11" s="12" customFormat="1">
      <c r="B164" s="10"/>
      <c r="C164" s="11"/>
      <c r="E164" s="10"/>
      <c r="F164" s="11"/>
      <c r="G164" s="11"/>
      <c r="H164" s="11"/>
      <c r="I164" s="11"/>
      <c r="J164" s="11"/>
      <c r="K164" s="11"/>
    </row>
    <row r="165" spans="2:11" s="12" customFormat="1">
      <c r="B165" s="10"/>
      <c r="C165" s="11"/>
      <c r="E165" s="10"/>
      <c r="F165" s="11"/>
      <c r="G165" s="11"/>
      <c r="H165" s="11"/>
      <c r="I165" s="11"/>
      <c r="J165" s="11"/>
      <c r="K165" s="11"/>
    </row>
    <row r="166" spans="2:11" s="12" customFormat="1">
      <c r="B166" s="10"/>
      <c r="C166" s="11"/>
      <c r="E166" s="10"/>
      <c r="F166" s="11"/>
      <c r="G166" s="11"/>
      <c r="H166" s="11"/>
      <c r="I166" s="11"/>
      <c r="J166" s="11"/>
      <c r="K166" s="11"/>
    </row>
    <row r="167" spans="2:11" s="12" customFormat="1">
      <c r="B167" s="10"/>
      <c r="C167" s="11"/>
      <c r="E167" s="10"/>
      <c r="F167" s="11"/>
      <c r="G167" s="11"/>
      <c r="H167" s="11"/>
      <c r="I167" s="11"/>
      <c r="J167" s="11"/>
      <c r="K167" s="11"/>
    </row>
    <row r="168" spans="2:11" s="12" customFormat="1">
      <c r="B168" s="10"/>
      <c r="C168" s="11"/>
      <c r="E168" s="10"/>
      <c r="F168" s="11"/>
      <c r="G168" s="11"/>
      <c r="H168" s="11"/>
      <c r="I168" s="11"/>
      <c r="J168" s="11"/>
      <c r="K168" s="11"/>
    </row>
    <row r="169" spans="2:11" s="12" customFormat="1">
      <c r="B169" s="10"/>
      <c r="C169" s="11"/>
      <c r="E169" s="10"/>
      <c r="F169" s="11"/>
      <c r="G169" s="11"/>
      <c r="H169" s="11"/>
      <c r="I169" s="11"/>
      <c r="J169" s="11"/>
      <c r="K169" s="11"/>
    </row>
    <row r="170" spans="2:11" s="12" customFormat="1">
      <c r="B170" s="10"/>
      <c r="C170" s="11"/>
      <c r="E170" s="10"/>
      <c r="F170" s="11"/>
      <c r="G170" s="11"/>
      <c r="H170" s="11"/>
      <c r="I170" s="11"/>
      <c r="J170" s="11"/>
      <c r="K170" s="11"/>
    </row>
    <row r="171" spans="2:11" s="12" customFormat="1">
      <c r="B171" s="10"/>
      <c r="C171" s="11"/>
      <c r="E171" s="10"/>
      <c r="F171" s="11"/>
      <c r="G171" s="11"/>
      <c r="H171" s="11"/>
      <c r="I171" s="11"/>
      <c r="J171" s="11"/>
      <c r="K171" s="11"/>
    </row>
    <row r="172" spans="2:11" s="12" customFormat="1">
      <c r="B172" s="10"/>
      <c r="C172" s="11"/>
      <c r="E172" s="10"/>
      <c r="F172" s="11"/>
      <c r="G172" s="11"/>
      <c r="H172" s="11"/>
      <c r="I172" s="11"/>
      <c r="J172" s="11"/>
      <c r="K172" s="11"/>
    </row>
    <row r="173" spans="2:11" s="12" customFormat="1">
      <c r="B173" s="10"/>
      <c r="C173" s="11"/>
      <c r="E173" s="10"/>
      <c r="F173" s="11"/>
      <c r="G173" s="11"/>
      <c r="H173" s="11"/>
      <c r="I173" s="11"/>
      <c r="J173" s="11"/>
      <c r="K173" s="11"/>
    </row>
    <row r="174" spans="2:11" s="12" customFormat="1">
      <c r="B174" s="10"/>
      <c r="C174" s="11"/>
      <c r="E174" s="10"/>
      <c r="F174" s="11"/>
      <c r="G174" s="11"/>
      <c r="H174" s="11"/>
      <c r="I174" s="11"/>
      <c r="J174" s="11"/>
      <c r="K174" s="11"/>
    </row>
    <row r="175" spans="2:11" s="12" customFormat="1">
      <c r="B175" s="10"/>
      <c r="C175" s="11"/>
      <c r="E175" s="10"/>
      <c r="F175" s="11"/>
      <c r="G175" s="11"/>
      <c r="H175" s="11"/>
      <c r="I175" s="11"/>
      <c r="J175" s="11"/>
      <c r="K175" s="11"/>
    </row>
    <row r="176" spans="2:11" s="12" customFormat="1">
      <c r="B176" s="10"/>
      <c r="C176" s="11"/>
      <c r="E176" s="10"/>
      <c r="F176" s="11"/>
      <c r="G176" s="11"/>
      <c r="H176" s="11"/>
      <c r="I176" s="11"/>
      <c r="J176" s="11"/>
      <c r="K176" s="11"/>
    </row>
    <row r="177" spans="2:11" s="12" customFormat="1">
      <c r="B177" s="10"/>
      <c r="C177" s="11"/>
      <c r="E177" s="10"/>
      <c r="F177" s="11"/>
      <c r="G177" s="11"/>
      <c r="H177" s="11"/>
      <c r="I177" s="11"/>
      <c r="J177" s="11"/>
      <c r="K177" s="11"/>
    </row>
    <row r="178" spans="2:11" s="12" customFormat="1">
      <c r="B178" s="10"/>
      <c r="C178" s="11"/>
      <c r="E178" s="10"/>
      <c r="F178" s="11"/>
      <c r="G178" s="11"/>
      <c r="H178" s="11"/>
      <c r="I178" s="11"/>
      <c r="J178" s="11"/>
      <c r="K178" s="11"/>
    </row>
    <row r="179" spans="2:11" s="12" customFormat="1">
      <c r="B179" s="10"/>
      <c r="C179" s="11"/>
      <c r="E179" s="10"/>
      <c r="F179" s="11"/>
      <c r="G179" s="11"/>
      <c r="H179" s="11"/>
      <c r="I179" s="11"/>
      <c r="J179" s="11"/>
      <c r="K179" s="11"/>
    </row>
    <row r="180" spans="2:11" s="12" customFormat="1">
      <c r="B180" s="10"/>
      <c r="C180" s="11"/>
      <c r="E180" s="10"/>
      <c r="F180" s="11"/>
      <c r="G180" s="11"/>
      <c r="H180" s="11"/>
      <c r="I180" s="11"/>
      <c r="J180" s="11"/>
      <c r="K180" s="11"/>
    </row>
    <row r="181" spans="2:11" s="12" customFormat="1">
      <c r="B181" s="10"/>
      <c r="C181" s="11"/>
      <c r="E181" s="10"/>
      <c r="F181" s="11"/>
      <c r="G181" s="11"/>
      <c r="H181" s="11"/>
      <c r="I181" s="11"/>
      <c r="J181" s="11"/>
      <c r="K181" s="11"/>
    </row>
    <row r="182" spans="2:11" s="12" customFormat="1">
      <c r="B182" s="10"/>
      <c r="C182" s="11"/>
      <c r="E182" s="10"/>
      <c r="F182" s="11"/>
      <c r="G182" s="11"/>
      <c r="H182" s="11"/>
      <c r="I182" s="11"/>
      <c r="J182" s="11"/>
      <c r="K182" s="11"/>
    </row>
    <row r="183" spans="2:11" s="12" customFormat="1">
      <c r="B183" s="10"/>
      <c r="C183" s="11"/>
      <c r="E183" s="10"/>
      <c r="F183" s="11"/>
      <c r="G183" s="11"/>
      <c r="H183" s="11"/>
      <c r="I183" s="11"/>
      <c r="J183" s="11"/>
      <c r="K183" s="11"/>
    </row>
    <row r="184" spans="2:11" s="12" customFormat="1">
      <c r="B184" s="10"/>
      <c r="C184" s="11"/>
      <c r="E184" s="10"/>
      <c r="F184" s="11"/>
      <c r="G184" s="11"/>
      <c r="H184" s="11"/>
      <c r="I184" s="11"/>
      <c r="J184" s="11"/>
      <c r="K184" s="11"/>
    </row>
    <row r="185" spans="2:11" s="12" customFormat="1">
      <c r="B185" s="10"/>
      <c r="C185" s="11"/>
      <c r="E185" s="10"/>
      <c r="F185" s="11"/>
      <c r="G185" s="11"/>
      <c r="H185" s="11"/>
      <c r="I185" s="11"/>
      <c r="J185" s="11"/>
      <c r="K185" s="11"/>
    </row>
    <row r="186" spans="2:11" s="12" customFormat="1">
      <c r="B186" s="10"/>
      <c r="C186" s="11"/>
      <c r="E186" s="10"/>
      <c r="F186" s="11"/>
      <c r="G186" s="11"/>
      <c r="H186" s="11"/>
      <c r="I186" s="11"/>
      <c r="J186" s="11"/>
      <c r="K186" s="11"/>
    </row>
    <row r="187" spans="2:11" s="12" customFormat="1">
      <c r="B187" s="10"/>
      <c r="C187" s="11"/>
      <c r="E187" s="10"/>
      <c r="F187" s="11"/>
      <c r="G187" s="11"/>
      <c r="H187" s="11"/>
      <c r="I187" s="11"/>
      <c r="J187" s="11"/>
      <c r="K187" s="11"/>
    </row>
    <row r="188" spans="2:11" s="12" customFormat="1">
      <c r="B188" s="10"/>
      <c r="C188" s="11"/>
      <c r="E188" s="10"/>
      <c r="F188" s="11"/>
      <c r="G188" s="11"/>
      <c r="H188" s="11"/>
      <c r="I188" s="11"/>
      <c r="J188" s="11"/>
      <c r="K188" s="11"/>
    </row>
    <row r="189" spans="2:11" s="12" customFormat="1">
      <c r="B189" s="10"/>
      <c r="C189" s="11"/>
      <c r="E189" s="10"/>
      <c r="F189" s="11"/>
      <c r="G189" s="11"/>
      <c r="H189" s="11"/>
      <c r="I189" s="11"/>
      <c r="J189" s="11"/>
      <c r="K189" s="11"/>
    </row>
    <row r="190" spans="2:11" s="12" customFormat="1">
      <c r="B190" s="10"/>
      <c r="C190" s="11"/>
      <c r="E190" s="10"/>
      <c r="F190" s="11"/>
      <c r="G190" s="11"/>
      <c r="H190" s="11"/>
      <c r="I190" s="11"/>
      <c r="J190" s="11"/>
      <c r="K190" s="11"/>
    </row>
    <row r="191" spans="2:11" s="12" customFormat="1">
      <c r="B191" s="10"/>
      <c r="C191" s="11"/>
      <c r="E191" s="10"/>
      <c r="F191" s="11"/>
      <c r="G191" s="11"/>
      <c r="H191" s="11"/>
      <c r="I191" s="11"/>
      <c r="J191" s="11"/>
      <c r="K191" s="11"/>
    </row>
    <row r="192" spans="2:11" s="12" customFormat="1">
      <c r="B192" s="10"/>
      <c r="C192" s="11"/>
      <c r="E192" s="10"/>
      <c r="F192" s="11"/>
      <c r="G192" s="11"/>
      <c r="H192" s="11"/>
      <c r="I192" s="11"/>
      <c r="J192" s="11"/>
      <c r="K192" s="11"/>
    </row>
    <row r="193" spans="2:11" s="12" customFormat="1">
      <c r="B193" s="10"/>
      <c r="C193" s="11"/>
      <c r="E193" s="10"/>
      <c r="F193" s="11"/>
      <c r="G193" s="11"/>
      <c r="H193" s="11"/>
      <c r="I193" s="11"/>
      <c r="J193" s="11"/>
      <c r="K193" s="11"/>
    </row>
    <row r="194" spans="2:11" s="12" customFormat="1">
      <c r="B194" s="10"/>
      <c r="C194" s="11"/>
      <c r="E194" s="10"/>
      <c r="F194" s="11"/>
      <c r="G194" s="11"/>
      <c r="H194" s="11"/>
      <c r="I194" s="11"/>
      <c r="J194" s="11"/>
      <c r="K194" s="11"/>
    </row>
    <row r="195" spans="2:11" s="12" customFormat="1">
      <c r="B195" s="10"/>
      <c r="C195" s="11"/>
      <c r="E195" s="10"/>
      <c r="F195" s="11"/>
      <c r="G195" s="11"/>
      <c r="H195" s="11"/>
      <c r="I195" s="11"/>
      <c r="J195" s="11"/>
      <c r="K195" s="11"/>
    </row>
    <row r="196" spans="2:11" s="12" customFormat="1">
      <c r="B196" s="10"/>
      <c r="C196" s="11"/>
      <c r="E196" s="10"/>
      <c r="F196" s="11"/>
      <c r="G196" s="11"/>
      <c r="H196" s="11"/>
      <c r="I196" s="11"/>
      <c r="J196" s="11"/>
      <c r="K196" s="11"/>
    </row>
    <row r="197" spans="2:11" s="12" customFormat="1">
      <c r="B197" s="10"/>
      <c r="C197" s="11"/>
      <c r="E197" s="10"/>
      <c r="F197" s="11"/>
      <c r="G197" s="11"/>
      <c r="H197" s="11"/>
      <c r="I197" s="11"/>
      <c r="J197" s="11"/>
      <c r="K197" s="11"/>
    </row>
    <row r="198" spans="2:11" s="12" customFormat="1">
      <c r="B198" s="10"/>
      <c r="C198" s="11"/>
      <c r="E198" s="10"/>
      <c r="F198" s="11"/>
      <c r="G198" s="11"/>
      <c r="H198" s="11"/>
      <c r="I198" s="11"/>
      <c r="J198" s="11"/>
      <c r="K198" s="11"/>
    </row>
    <row r="199" spans="2:11" s="12" customFormat="1">
      <c r="B199" s="10"/>
      <c r="C199" s="11"/>
      <c r="E199" s="10"/>
      <c r="F199" s="11"/>
      <c r="G199" s="11"/>
      <c r="H199" s="11"/>
      <c r="I199" s="11"/>
      <c r="J199" s="11"/>
      <c r="K199" s="11"/>
    </row>
    <row r="200" spans="2:11" s="12" customFormat="1">
      <c r="B200" s="10"/>
      <c r="C200" s="11"/>
      <c r="E200" s="10"/>
      <c r="F200" s="11"/>
      <c r="G200" s="11"/>
      <c r="H200" s="11"/>
      <c r="I200" s="11"/>
      <c r="J200" s="11"/>
      <c r="K200" s="11"/>
    </row>
    <row r="201" spans="2:11" s="12" customFormat="1">
      <c r="B201" s="10"/>
      <c r="C201" s="11"/>
      <c r="E201" s="10"/>
      <c r="F201" s="11"/>
      <c r="G201" s="11"/>
      <c r="H201" s="11"/>
      <c r="I201" s="11"/>
      <c r="J201" s="11"/>
      <c r="K201" s="11"/>
    </row>
    <row r="202" spans="2:11" s="12" customFormat="1">
      <c r="B202" s="10"/>
      <c r="C202" s="11"/>
      <c r="E202" s="10"/>
      <c r="F202" s="11"/>
      <c r="G202" s="11"/>
      <c r="H202" s="11"/>
      <c r="I202" s="11"/>
      <c r="J202" s="11"/>
      <c r="K202" s="11"/>
    </row>
    <row r="203" spans="2:11" s="12" customFormat="1">
      <c r="B203" s="10"/>
      <c r="C203" s="11"/>
      <c r="E203" s="10"/>
      <c r="F203" s="11"/>
      <c r="G203" s="11"/>
      <c r="H203" s="11"/>
      <c r="I203" s="11"/>
      <c r="J203" s="11"/>
      <c r="K203" s="11"/>
    </row>
    <row r="204" spans="2:11" s="12" customFormat="1">
      <c r="B204" s="10"/>
      <c r="C204" s="11"/>
      <c r="E204" s="10"/>
      <c r="F204" s="11"/>
      <c r="G204" s="11"/>
      <c r="H204" s="11"/>
      <c r="I204" s="11"/>
      <c r="J204" s="11"/>
      <c r="K204" s="11"/>
    </row>
    <row r="205" spans="2:11" s="12" customFormat="1">
      <c r="B205" s="10"/>
      <c r="C205" s="11"/>
      <c r="E205" s="10"/>
      <c r="F205" s="11"/>
      <c r="G205" s="11"/>
      <c r="H205" s="11"/>
      <c r="I205" s="11"/>
      <c r="J205" s="11"/>
      <c r="K205" s="11"/>
    </row>
    <row r="206" spans="2:11" s="12" customFormat="1">
      <c r="B206" s="10"/>
      <c r="C206" s="11"/>
      <c r="E206" s="10"/>
      <c r="F206" s="11"/>
      <c r="G206" s="11"/>
      <c r="H206" s="11"/>
      <c r="I206" s="11"/>
      <c r="J206" s="11"/>
      <c r="K206" s="11"/>
    </row>
    <row r="207" spans="2:11" s="12" customFormat="1">
      <c r="B207" s="10"/>
      <c r="C207" s="11"/>
      <c r="E207" s="10"/>
      <c r="F207" s="11"/>
      <c r="G207" s="11"/>
      <c r="H207" s="11"/>
      <c r="I207" s="11"/>
      <c r="J207" s="11"/>
      <c r="K207" s="11"/>
    </row>
    <row r="208" spans="2:11" s="12" customFormat="1">
      <c r="B208" s="10"/>
      <c r="C208" s="11"/>
      <c r="E208" s="10"/>
      <c r="F208" s="11"/>
      <c r="G208" s="11"/>
      <c r="H208" s="11"/>
      <c r="I208" s="11"/>
      <c r="J208" s="11"/>
      <c r="K208" s="11"/>
    </row>
    <row r="209" spans="2:11" s="12" customFormat="1">
      <c r="B209" s="10"/>
      <c r="C209" s="11"/>
      <c r="E209" s="10"/>
      <c r="F209" s="11"/>
      <c r="G209" s="11"/>
      <c r="H209" s="11"/>
      <c r="I209" s="11"/>
      <c r="J209" s="11"/>
      <c r="K209" s="11"/>
    </row>
    <row r="210" spans="2:11" s="12" customFormat="1">
      <c r="B210" s="10"/>
      <c r="C210" s="11"/>
      <c r="E210" s="10"/>
      <c r="F210" s="11"/>
      <c r="G210" s="11"/>
      <c r="H210" s="11"/>
      <c r="I210" s="11"/>
      <c r="J210" s="11"/>
      <c r="K210" s="11"/>
    </row>
    <row r="211" spans="2:11" s="12" customFormat="1">
      <c r="B211" s="10"/>
      <c r="C211" s="11"/>
      <c r="E211" s="10"/>
      <c r="F211" s="11"/>
      <c r="G211" s="11"/>
      <c r="H211" s="11"/>
      <c r="I211" s="11"/>
      <c r="J211" s="11"/>
      <c r="K211" s="11"/>
    </row>
    <row r="212" spans="2:11" s="12" customFormat="1">
      <c r="B212" s="10"/>
      <c r="C212" s="11"/>
      <c r="E212" s="10"/>
      <c r="F212" s="11"/>
      <c r="G212" s="11"/>
      <c r="H212" s="11"/>
      <c r="I212" s="11"/>
      <c r="J212" s="11"/>
      <c r="K212" s="11"/>
    </row>
    <row r="213" spans="2:11" s="12" customFormat="1">
      <c r="B213" s="10"/>
      <c r="C213" s="11"/>
      <c r="E213" s="10"/>
      <c r="F213" s="11"/>
      <c r="G213" s="11"/>
      <c r="H213" s="11"/>
      <c r="I213" s="11"/>
      <c r="J213" s="11"/>
      <c r="K213" s="11"/>
    </row>
    <row r="214" spans="2:11" s="12" customFormat="1">
      <c r="B214" s="10"/>
      <c r="C214" s="11"/>
      <c r="E214" s="10"/>
      <c r="F214" s="11"/>
      <c r="G214" s="11"/>
      <c r="H214" s="11"/>
      <c r="I214" s="11"/>
      <c r="J214" s="11"/>
      <c r="K214" s="11"/>
    </row>
    <row r="215" spans="2:11" s="12" customFormat="1">
      <c r="B215" s="10"/>
      <c r="C215" s="11"/>
      <c r="E215" s="10"/>
      <c r="F215" s="11"/>
      <c r="G215" s="11"/>
      <c r="H215" s="11"/>
      <c r="I215" s="11"/>
      <c r="J215" s="11"/>
      <c r="K215" s="11"/>
    </row>
    <row r="216" spans="2:11" s="12" customFormat="1">
      <c r="B216" s="10"/>
      <c r="C216" s="11"/>
      <c r="E216" s="10"/>
      <c r="F216" s="11"/>
      <c r="G216" s="11"/>
      <c r="H216" s="11"/>
      <c r="I216" s="11"/>
      <c r="J216" s="11"/>
      <c r="K216" s="11"/>
    </row>
    <row r="217" spans="2:11" s="12" customFormat="1">
      <c r="B217" s="10"/>
      <c r="C217" s="11"/>
      <c r="E217" s="10"/>
      <c r="F217" s="11"/>
      <c r="G217" s="11"/>
      <c r="H217" s="11"/>
      <c r="I217" s="11"/>
      <c r="J217" s="11"/>
      <c r="K217" s="11"/>
    </row>
    <row r="218" spans="2:11" s="12" customFormat="1">
      <c r="B218" s="10"/>
      <c r="C218" s="11"/>
      <c r="E218" s="10"/>
      <c r="F218" s="11"/>
      <c r="G218" s="11"/>
      <c r="H218" s="11"/>
      <c r="I218" s="11"/>
      <c r="J218" s="11"/>
      <c r="K218" s="11"/>
    </row>
    <row r="219" spans="2:11" s="12" customFormat="1">
      <c r="B219" s="10"/>
      <c r="C219" s="11"/>
      <c r="E219" s="10"/>
      <c r="F219" s="11"/>
      <c r="G219" s="11"/>
      <c r="H219" s="11"/>
      <c r="I219" s="11"/>
      <c r="J219" s="11"/>
      <c r="K219" s="11"/>
    </row>
    <row r="220" spans="2:11" s="12" customFormat="1">
      <c r="B220" s="10"/>
      <c r="C220" s="11"/>
      <c r="E220" s="10"/>
      <c r="F220" s="11"/>
      <c r="G220" s="11"/>
      <c r="H220" s="11"/>
      <c r="I220" s="11"/>
      <c r="J220" s="11"/>
      <c r="K220" s="11"/>
    </row>
    <row r="221" spans="2:11" s="12" customFormat="1">
      <c r="B221" s="10"/>
      <c r="C221" s="11"/>
      <c r="E221" s="10"/>
      <c r="F221" s="11"/>
      <c r="G221" s="11"/>
      <c r="H221" s="11"/>
      <c r="I221" s="11"/>
      <c r="J221" s="11"/>
      <c r="K221" s="11"/>
    </row>
    <row r="222" spans="2:11" s="12" customFormat="1">
      <c r="B222" s="10"/>
      <c r="C222" s="11"/>
      <c r="E222" s="10"/>
      <c r="F222" s="11"/>
      <c r="G222" s="11"/>
      <c r="H222" s="11"/>
      <c r="I222" s="11"/>
      <c r="J222" s="11"/>
      <c r="K222" s="11"/>
    </row>
    <row r="223" spans="2:11" s="12" customFormat="1">
      <c r="B223" s="10"/>
      <c r="C223" s="11"/>
      <c r="E223" s="10"/>
      <c r="F223" s="11"/>
      <c r="G223" s="11"/>
      <c r="H223" s="11"/>
      <c r="I223" s="11"/>
      <c r="J223" s="11"/>
      <c r="K223" s="11"/>
    </row>
    <row r="224" spans="2:11" s="12" customFormat="1">
      <c r="B224" s="10"/>
      <c r="C224" s="11"/>
      <c r="E224" s="10"/>
      <c r="F224" s="11"/>
      <c r="G224" s="11"/>
      <c r="H224" s="11"/>
      <c r="I224" s="11"/>
      <c r="J224" s="11"/>
      <c r="K224" s="11"/>
    </row>
    <row r="225" spans="2:11" s="12" customFormat="1">
      <c r="B225" s="10"/>
      <c r="C225" s="11"/>
      <c r="E225" s="10"/>
      <c r="F225" s="11"/>
      <c r="G225" s="11"/>
      <c r="H225" s="11"/>
      <c r="I225" s="11"/>
      <c r="J225" s="11"/>
      <c r="K225" s="11"/>
    </row>
    <row r="226" spans="2:11" s="12" customFormat="1">
      <c r="B226" s="10"/>
      <c r="C226" s="11"/>
      <c r="E226" s="10"/>
      <c r="F226" s="11"/>
      <c r="G226" s="11"/>
      <c r="H226" s="11"/>
      <c r="I226" s="11"/>
      <c r="J226" s="11"/>
      <c r="K226" s="11"/>
    </row>
    <row r="227" spans="2:11" s="12" customFormat="1">
      <c r="B227" s="10"/>
      <c r="C227" s="11"/>
      <c r="E227" s="10"/>
      <c r="F227" s="11"/>
      <c r="G227" s="11"/>
      <c r="H227" s="11"/>
      <c r="I227" s="11"/>
      <c r="J227" s="11"/>
      <c r="K227" s="11"/>
    </row>
    <row r="228" spans="2:11" s="12" customFormat="1">
      <c r="B228" s="10"/>
      <c r="C228" s="11"/>
      <c r="E228" s="10"/>
      <c r="F228" s="11"/>
      <c r="G228" s="11"/>
      <c r="H228" s="11"/>
      <c r="I228" s="11"/>
      <c r="J228" s="11"/>
      <c r="K228" s="11"/>
    </row>
    <row r="229" spans="2:11" s="12" customFormat="1">
      <c r="B229" s="10"/>
      <c r="C229" s="11"/>
      <c r="E229" s="10"/>
      <c r="F229" s="11"/>
      <c r="G229" s="11"/>
      <c r="H229" s="11"/>
      <c r="I229" s="11"/>
      <c r="J229" s="11"/>
      <c r="K229" s="11"/>
    </row>
    <row r="230" spans="2:11" s="12" customFormat="1">
      <c r="B230" s="10"/>
      <c r="C230" s="11"/>
      <c r="E230" s="10"/>
      <c r="F230" s="11"/>
      <c r="G230" s="11"/>
      <c r="H230" s="11"/>
      <c r="I230" s="11"/>
      <c r="J230" s="11"/>
      <c r="K230" s="11"/>
    </row>
    <row r="231" spans="2:11" s="12" customFormat="1">
      <c r="B231" s="10"/>
      <c r="C231" s="11"/>
      <c r="E231" s="10"/>
      <c r="F231" s="11"/>
      <c r="G231" s="11"/>
      <c r="H231" s="11"/>
      <c r="I231" s="11"/>
      <c r="J231" s="11"/>
      <c r="K231" s="11"/>
    </row>
    <row r="232" spans="2:11" s="12" customFormat="1">
      <c r="B232" s="10"/>
      <c r="C232" s="11"/>
      <c r="E232" s="10"/>
      <c r="F232" s="11"/>
      <c r="G232" s="11"/>
      <c r="H232" s="11"/>
      <c r="I232" s="11"/>
      <c r="J232" s="11"/>
      <c r="K232" s="11"/>
    </row>
    <row r="233" spans="2:11" s="12" customFormat="1">
      <c r="B233" s="10"/>
      <c r="C233" s="11"/>
      <c r="E233" s="10"/>
      <c r="F233" s="11"/>
      <c r="G233" s="11"/>
      <c r="H233" s="11"/>
      <c r="I233" s="11"/>
      <c r="J233" s="11"/>
      <c r="K233" s="11"/>
    </row>
    <row r="234" spans="2:11" s="12" customFormat="1">
      <c r="B234" s="10"/>
      <c r="C234" s="11"/>
      <c r="E234" s="10"/>
      <c r="F234" s="11"/>
      <c r="G234" s="11"/>
      <c r="H234" s="11"/>
      <c r="I234" s="11"/>
      <c r="J234" s="11"/>
      <c r="K234" s="11"/>
    </row>
    <row r="235" spans="2:11" s="12" customFormat="1">
      <c r="B235" s="10"/>
      <c r="C235" s="11"/>
      <c r="E235" s="10"/>
      <c r="F235" s="11"/>
      <c r="G235" s="11"/>
      <c r="H235" s="11"/>
      <c r="I235" s="11"/>
      <c r="J235" s="11"/>
      <c r="K235" s="11"/>
    </row>
    <row r="236" spans="2:11" s="12" customFormat="1">
      <c r="B236" s="10"/>
      <c r="C236" s="11"/>
      <c r="E236" s="10"/>
      <c r="F236" s="11"/>
      <c r="G236" s="11"/>
      <c r="H236" s="11"/>
      <c r="I236" s="11"/>
      <c r="J236" s="11"/>
      <c r="K236" s="11"/>
    </row>
    <row r="237" spans="2:11" s="12" customFormat="1">
      <c r="B237" s="10"/>
      <c r="C237" s="11"/>
      <c r="E237" s="10"/>
      <c r="F237" s="11"/>
      <c r="G237" s="11"/>
      <c r="H237" s="11"/>
      <c r="I237" s="11"/>
      <c r="J237" s="11"/>
      <c r="K237" s="11"/>
    </row>
    <row r="238" spans="2:11" s="12" customFormat="1">
      <c r="B238" s="10"/>
      <c r="C238" s="11"/>
      <c r="E238" s="10"/>
      <c r="F238" s="11"/>
      <c r="G238" s="11"/>
      <c r="H238" s="11"/>
      <c r="I238" s="11"/>
      <c r="J238" s="11"/>
      <c r="K238" s="11"/>
    </row>
    <row r="239" spans="2:11" s="12" customFormat="1">
      <c r="B239" s="10"/>
      <c r="C239" s="11"/>
      <c r="E239" s="10"/>
      <c r="F239" s="11"/>
      <c r="G239" s="11"/>
      <c r="H239" s="11"/>
      <c r="I239" s="11"/>
      <c r="J239" s="11"/>
      <c r="K239" s="11"/>
    </row>
    <row r="240" spans="2:11" s="12" customFormat="1">
      <c r="B240" s="10"/>
      <c r="C240" s="11"/>
      <c r="E240" s="10"/>
      <c r="F240" s="11"/>
      <c r="G240" s="11"/>
      <c r="H240" s="11"/>
      <c r="I240" s="11"/>
      <c r="J240" s="11"/>
      <c r="K240" s="11"/>
    </row>
    <row r="241" spans="2:11" s="12" customFormat="1">
      <c r="B241" s="10"/>
      <c r="C241" s="11"/>
      <c r="E241" s="10"/>
      <c r="F241" s="11"/>
      <c r="G241" s="11"/>
      <c r="H241" s="11"/>
      <c r="I241" s="11"/>
      <c r="J241" s="11"/>
      <c r="K241" s="11"/>
    </row>
    <row r="242" spans="2:11" s="12" customFormat="1">
      <c r="B242" s="10"/>
      <c r="C242" s="11"/>
      <c r="E242" s="10"/>
      <c r="F242" s="11"/>
      <c r="G242" s="11"/>
      <c r="H242" s="11"/>
      <c r="I242" s="11"/>
      <c r="J242" s="11"/>
      <c r="K242" s="11"/>
    </row>
    <row r="243" spans="2:11" s="12" customFormat="1">
      <c r="B243" s="10"/>
      <c r="C243" s="11"/>
      <c r="E243" s="10"/>
      <c r="F243" s="11"/>
      <c r="G243" s="11"/>
      <c r="H243" s="11"/>
      <c r="I243" s="11"/>
      <c r="J243" s="11"/>
      <c r="K243" s="11"/>
    </row>
    <row r="244" spans="2:11" s="12" customFormat="1">
      <c r="B244" s="10"/>
      <c r="C244" s="11"/>
      <c r="E244" s="10"/>
      <c r="F244" s="11"/>
      <c r="G244" s="11"/>
      <c r="H244" s="11"/>
      <c r="I244" s="11"/>
      <c r="J244" s="11"/>
      <c r="K244" s="11"/>
    </row>
    <row r="245" spans="2:11" s="12" customFormat="1">
      <c r="B245" s="10"/>
      <c r="C245" s="11"/>
      <c r="E245" s="10"/>
      <c r="F245" s="11"/>
      <c r="G245" s="11"/>
      <c r="H245" s="11"/>
      <c r="I245" s="11"/>
      <c r="J245" s="11"/>
      <c r="K245" s="11"/>
    </row>
    <row r="246" spans="2:11" s="12" customFormat="1">
      <c r="B246" s="10"/>
      <c r="C246" s="11"/>
      <c r="E246" s="10"/>
      <c r="F246" s="11"/>
      <c r="G246" s="11"/>
      <c r="H246" s="11"/>
      <c r="I246" s="11"/>
      <c r="J246" s="11"/>
      <c r="K246" s="11"/>
    </row>
    <row r="247" spans="2:11" s="12" customFormat="1">
      <c r="B247" s="10"/>
      <c r="C247" s="11"/>
      <c r="E247" s="10"/>
      <c r="F247" s="11"/>
      <c r="G247" s="11"/>
      <c r="H247" s="11"/>
      <c r="I247" s="11"/>
      <c r="J247" s="11"/>
      <c r="K247" s="11"/>
    </row>
    <row r="248" spans="2:11" s="12" customFormat="1">
      <c r="B248" s="10"/>
      <c r="C248" s="11"/>
      <c r="E248" s="10"/>
      <c r="F248" s="11"/>
      <c r="G248" s="11"/>
      <c r="H248" s="11"/>
      <c r="I248" s="11"/>
      <c r="J248" s="11"/>
      <c r="K248" s="11"/>
    </row>
    <row r="249" spans="2:11" s="12" customFormat="1">
      <c r="B249" s="10"/>
      <c r="C249" s="11"/>
      <c r="E249" s="10"/>
      <c r="F249" s="11"/>
      <c r="G249" s="11"/>
      <c r="H249" s="11"/>
      <c r="I249" s="11"/>
      <c r="J249" s="11"/>
      <c r="K249" s="11"/>
    </row>
    <row r="250" spans="2:11" s="12" customFormat="1">
      <c r="B250" s="10"/>
      <c r="C250" s="11"/>
      <c r="E250" s="10"/>
      <c r="F250" s="11"/>
      <c r="G250" s="11"/>
      <c r="H250" s="11"/>
      <c r="I250" s="11"/>
      <c r="J250" s="11"/>
      <c r="K250" s="11"/>
    </row>
    <row r="251" spans="2:11" s="12" customFormat="1">
      <c r="B251" s="10"/>
      <c r="C251" s="11"/>
      <c r="E251" s="10"/>
      <c r="F251" s="11"/>
      <c r="G251" s="11"/>
      <c r="H251" s="11"/>
      <c r="I251" s="11"/>
      <c r="J251" s="11"/>
      <c r="K251" s="11"/>
    </row>
    <row r="252" spans="2:11" s="12" customFormat="1">
      <c r="B252" s="10"/>
      <c r="C252" s="11"/>
      <c r="E252" s="10"/>
      <c r="F252" s="11"/>
      <c r="G252" s="11"/>
      <c r="H252" s="11"/>
      <c r="I252" s="11"/>
      <c r="J252" s="11"/>
      <c r="K252" s="11"/>
    </row>
    <row r="253" spans="2:11" s="12" customFormat="1">
      <c r="B253" s="10"/>
      <c r="C253" s="11"/>
      <c r="E253" s="10"/>
      <c r="F253" s="11"/>
      <c r="G253" s="11"/>
      <c r="H253" s="11"/>
      <c r="I253" s="11"/>
      <c r="J253" s="11"/>
      <c r="K253" s="11"/>
    </row>
    <row r="254" spans="2:11" s="12" customFormat="1">
      <c r="B254" s="10"/>
      <c r="C254" s="11"/>
      <c r="E254" s="10"/>
      <c r="F254" s="11"/>
      <c r="G254" s="11"/>
      <c r="H254" s="11"/>
      <c r="I254" s="11"/>
      <c r="J254" s="11"/>
      <c r="K254" s="11"/>
    </row>
    <row r="255" spans="2:11" s="12" customFormat="1">
      <c r="B255" s="10"/>
      <c r="C255" s="11"/>
      <c r="E255" s="10"/>
      <c r="F255" s="11"/>
      <c r="G255" s="11"/>
      <c r="H255" s="11"/>
      <c r="I255" s="11"/>
      <c r="J255" s="11"/>
      <c r="K255" s="11"/>
    </row>
    <row r="256" spans="2:11" s="12" customFormat="1">
      <c r="B256" s="10"/>
      <c r="C256" s="11"/>
      <c r="E256" s="10"/>
      <c r="F256" s="11"/>
      <c r="G256" s="11"/>
      <c r="H256" s="11"/>
      <c r="I256" s="11"/>
      <c r="J256" s="11"/>
      <c r="K256" s="11"/>
    </row>
    <row r="257" spans="2:11" s="12" customFormat="1">
      <c r="B257" s="10"/>
      <c r="C257" s="11"/>
      <c r="E257" s="10"/>
      <c r="F257" s="11"/>
      <c r="G257" s="11"/>
      <c r="H257" s="11"/>
      <c r="I257" s="11"/>
      <c r="J257" s="11"/>
      <c r="K257" s="11"/>
    </row>
    <row r="258" spans="2:11" s="12" customFormat="1">
      <c r="B258" s="10"/>
      <c r="C258" s="11"/>
      <c r="E258" s="10"/>
      <c r="F258" s="11"/>
      <c r="G258" s="11"/>
      <c r="H258" s="11"/>
      <c r="I258" s="11"/>
      <c r="J258" s="11"/>
      <c r="K258" s="11"/>
    </row>
    <row r="259" spans="2:11" s="12" customFormat="1">
      <c r="B259" s="10"/>
      <c r="C259" s="11"/>
      <c r="E259" s="10"/>
      <c r="F259" s="11"/>
      <c r="G259" s="11"/>
      <c r="H259" s="11"/>
      <c r="I259" s="11"/>
      <c r="J259" s="11"/>
      <c r="K259" s="11"/>
    </row>
    <row r="260" spans="2:11" s="12" customFormat="1">
      <c r="B260" s="10"/>
      <c r="C260" s="11"/>
      <c r="E260" s="10"/>
      <c r="F260" s="11"/>
      <c r="G260" s="11"/>
      <c r="H260" s="11"/>
      <c r="I260" s="11"/>
      <c r="J260" s="11"/>
      <c r="K260" s="11"/>
    </row>
    <row r="261" spans="2:11" s="12" customFormat="1">
      <c r="B261" s="10"/>
      <c r="C261" s="11"/>
      <c r="E261" s="10"/>
      <c r="F261" s="11"/>
      <c r="G261" s="11"/>
      <c r="H261" s="11"/>
      <c r="I261" s="11"/>
      <c r="J261" s="11"/>
      <c r="K261" s="11"/>
    </row>
    <row r="262" spans="2:11" s="12" customFormat="1">
      <c r="B262" s="10"/>
      <c r="C262" s="11"/>
      <c r="E262" s="10"/>
      <c r="F262" s="11"/>
      <c r="G262" s="11"/>
      <c r="H262" s="11"/>
      <c r="I262" s="11"/>
      <c r="J262" s="11"/>
      <c r="K262" s="11"/>
    </row>
    <row r="263" spans="2:11" s="12" customFormat="1">
      <c r="B263" s="10"/>
      <c r="C263" s="11"/>
      <c r="E263" s="10"/>
      <c r="F263" s="11"/>
      <c r="G263" s="11"/>
      <c r="H263" s="11"/>
      <c r="I263" s="11"/>
      <c r="J263" s="11"/>
      <c r="K263" s="11"/>
    </row>
    <row r="264" spans="2:11" s="12" customFormat="1">
      <c r="B264" s="10"/>
      <c r="C264" s="11"/>
      <c r="E264" s="10"/>
      <c r="F264" s="11"/>
      <c r="G264" s="11"/>
      <c r="H264" s="11"/>
      <c r="I264" s="11"/>
      <c r="J264" s="11"/>
      <c r="K264" s="11"/>
    </row>
    <row r="265" spans="2:11" s="12" customFormat="1">
      <c r="B265" s="10"/>
      <c r="C265" s="11"/>
      <c r="E265" s="10"/>
      <c r="F265" s="11"/>
      <c r="G265" s="11"/>
      <c r="H265" s="11"/>
      <c r="I265" s="11"/>
      <c r="J265" s="11"/>
      <c r="K265" s="11"/>
    </row>
    <row r="266" spans="2:11" s="12" customFormat="1">
      <c r="B266" s="10"/>
      <c r="C266" s="11"/>
      <c r="E266" s="10"/>
      <c r="F266" s="11"/>
      <c r="G266" s="11"/>
      <c r="H266" s="11"/>
      <c r="I266" s="11"/>
      <c r="J266" s="11"/>
      <c r="K266" s="11"/>
    </row>
    <row r="267" spans="2:11" s="12" customFormat="1">
      <c r="B267" s="10"/>
      <c r="C267" s="11"/>
      <c r="E267" s="10"/>
      <c r="F267" s="11"/>
      <c r="G267" s="11"/>
      <c r="H267" s="11"/>
      <c r="I267" s="11"/>
      <c r="J267" s="11"/>
      <c r="K267" s="11"/>
    </row>
    <row r="268" spans="2:11" s="12" customFormat="1">
      <c r="B268" s="10"/>
      <c r="C268" s="11"/>
      <c r="E268" s="10"/>
      <c r="F268" s="11"/>
      <c r="G268" s="11"/>
      <c r="H268" s="11"/>
      <c r="I268" s="11"/>
      <c r="J268" s="11"/>
      <c r="K268" s="11"/>
    </row>
    <row r="269" spans="2:11" s="12" customFormat="1">
      <c r="B269" s="10"/>
      <c r="C269" s="11"/>
      <c r="E269" s="10"/>
      <c r="F269" s="11"/>
      <c r="G269" s="11"/>
      <c r="H269" s="11"/>
      <c r="I269" s="11"/>
      <c r="J269" s="11"/>
      <c r="K269" s="11"/>
    </row>
    <row r="270" spans="2:11" s="12" customFormat="1">
      <c r="B270" s="10"/>
      <c r="C270" s="11"/>
      <c r="E270" s="10"/>
      <c r="F270" s="11"/>
      <c r="G270" s="11"/>
      <c r="H270" s="11"/>
      <c r="I270" s="11"/>
      <c r="J270" s="11"/>
      <c r="K270" s="11"/>
    </row>
    <row r="271" spans="2:11" s="12" customFormat="1">
      <c r="B271" s="10"/>
      <c r="C271" s="11"/>
      <c r="E271" s="10"/>
      <c r="F271" s="11"/>
      <c r="G271" s="11"/>
      <c r="H271" s="11"/>
      <c r="I271" s="11"/>
      <c r="J271" s="11"/>
      <c r="K271" s="11"/>
    </row>
    <row r="272" spans="2:11" s="12" customFormat="1">
      <c r="B272" s="10"/>
      <c r="C272" s="11"/>
      <c r="E272" s="10"/>
      <c r="F272" s="11"/>
      <c r="G272" s="11"/>
      <c r="H272" s="11"/>
      <c r="I272" s="11"/>
      <c r="J272" s="11"/>
      <c r="K272" s="11"/>
    </row>
    <row r="273" spans="2:11" s="12" customFormat="1">
      <c r="B273" s="10"/>
      <c r="C273" s="11"/>
      <c r="E273" s="10"/>
      <c r="F273" s="11"/>
      <c r="G273" s="11"/>
      <c r="H273" s="11"/>
      <c r="I273" s="11"/>
      <c r="J273" s="11"/>
      <c r="K273" s="11"/>
    </row>
    <row r="274" spans="2:11" s="12" customFormat="1">
      <c r="B274" s="10"/>
      <c r="C274" s="11"/>
      <c r="E274" s="10"/>
      <c r="F274" s="11"/>
      <c r="G274" s="11"/>
      <c r="H274" s="11"/>
      <c r="I274" s="11"/>
      <c r="J274" s="11"/>
      <c r="K274" s="11"/>
    </row>
    <row r="275" spans="2:11" s="12" customFormat="1">
      <c r="B275" s="10"/>
      <c r="C275" s="11"/>
      <c r="E275" s="10"/>
      <c r="F275" s="11"/>
      <c r="G275" s="11"/>
      <c r="H275" s="11"/>
      <c r="I275" s="11"/>
      <c r="J275" s="11"/>
      <c r="K275" s="11"/>
    </row>
    <row r="276" spans="2:11" s="12" customFormat="1">
      <c r="B276" s="10"/>
      <c r="C276" s="11"/>
      <c r="E276" s="10"/>
      <c r="F276" s="11"/>
      <c r="G276" s="11"/>
      <c r="H276" s="11"/>
      <c r="I276" s="11"/>
      <c r="J276" s="11"/>
      <c r="K276" s="11"/>
    </row>
    <row r="277" spans="2:11" s="12" customFormat="1">
      <c r="B277" s="10"/>
      <c r="C277" s="11"/>
      <c r="E277" s="10"/>
      <c r="F277" s="11"/>
      <c r="G277" s="11"/>
      <c r="H277" s="11"/>
      <c r="I277" s="11"/>
      <c r="J277" s="11"/>
      <c r="K277" s="11"/>
    </row>
    <row r="278" spans="2:11" s="12" customFormat="1">
      <c r="B278" s="10"/>
      <c r="C278" s="11"/>
      <c r="E278" s="10"/>
      <c r="F278" s="11"/>
      <c r="G278" s="11"/>
      <c r="H278" s="11"/>
      <c r="I278" s="11"/>
      <c r="J278" s="11"/>
      <c r="K278" s="11"/>
    </row>
    <row r="279" spans="2:11" s="12" customFormat="1">
      <c r="B279" s="10"/>
      <c r="C279" s="11"/>
      <c r="E279" s="10"/>
      <c r="F279" s="11"/>
      <c r="G279" s="11"/>
      <c r="H279" s="11"/>
      <c r="I279" s="11"/>
      <c r="J279" s="11"/>
      <c r="K279" s="11"/>
    </row>
    <row r="280" spans="2:11" s="12" customFormat="1">
      <c r="B280" s="10"/>
      <c r="C280" s="11"/>
      <c r="E280" s="10"/>
      <c r="F280" s="11"/>
      <c r="G280" s="11"/>
      <c r="H280" s="11"/>
      <c r="I280" s="11"/>
      <c r="J280" s="11"/>
      <c r="K280" s="11"/>
    </row>
    <row r="281" spans="2:11" s="12" customFormat="1">
      <c r="B281" s="10"/>
      <c r="C281" s="11"/>
      <c r="E281" s="10"/>
      <c r="F281" s="11"/>
      <c r="G281" s="11"/>
      <c r="H281" s="11"/>
      <c r="I281" s="11"/>
      <c r="J281" s="11"/>
      <c r="K281" s="11"/>
    </row>
    <row r="282" spans="2:11" s="12" customFormat="1">
      <c r="B282" s="10"/>
      <c r="C282" s="11"/>
      <c r="E282" s="10"/>
      <c r="F282" s="11"/>
      <c r="G282" s="11"/>
      <c r="H282" s="11"/>
      <c r="I282" s="11"/>
      <c r="J282" s="11"/>
      <c r="K282" s="11"/>
    </row>
    <row r="283" spans="2:11" s="12" customFormat="1">
      <c r="B283" s="10"/>
      <c r="C283" s="11"/>
      <c r="E283" s="10"/>
      <c r="F283" s="11"/>
      <c r="G283" s="11"/>
      <c r="H283" s="11"/>
      <c r="I283" s="11"/>
      <c r="J283" s="11"/>
      <c r="K283" s="11"/>
    </row>
    <row r="284" spans="2:11" s="12" customFormat="1">
      <c r="B284" s="10"/>
      <c r="C284" s="11"/>
      <c r="E284" s="10"/>
      <c r="F284" s="11"/>
      <c r="G284" s="11"/>
      <c r="H284" s="11"/>
      <c r="I284" s="11"/>
      <c r="J284" s="11"/>
      <c r="K284" s="11"/>
    </row>
    <row r="285" spans="2:11" s="12" customFormat="1">
      <c r="B285" s="10"/>
      <c r="C285" s="11"/>
      <c r="E285" s="10"/>
      <c r="F285" s="11"/>
      <c r="G285" s="11"/>
      <c r="H285" s="11"/>
      <c r="I285" s="11"/>
      <c r="J285" s="11"/>
      <c r="K285" s="11"/>
    </row>
    <row r="286" spans="2:11" s="12" customFormat="1">
      <c r="B286" s="10"/>
      <c r="C286" s="11"/>
      <c r="E286" s="10"/>
      <c r="F286" s="11"/>
      <c r="G286" s="11"/>
      <c r="H286" s="11"/>
      <c r="I286" s="11"/>
      <c r="J286" s="11"/>
      <c r="K286" s="11"/>
    </row>
    <row r="287" spans="2:11" s="12" customFormat="1">
      <c r="B287" s="10"/>
      <c r="C287" s="11"/>
      <c r="E287" s="10"/>
      <c r="F287" s="11"/>
      <c r="G287" s="11"/>
      <c r="H287" s="11"/>
      <c r="I287" s="11"/>
      <c r="J287" s="11"/>
      <c r="K287" s="11"/>
    </row>
    <row r="288" spans="2:11" s="12" customFormat="1">
      <c r="B288" s="10"/>
      <c r="C288" s="11"/>
      <c r="E288" s="10"/>
      <c r="F288" s="11"/>
      <c r="G288" s="11"/>
      <c r="H288" s="11"/>
      <c r="I288" s="11"/>
      <c r="J288" s="11"/>
      <c r="K288" s="11"/>
    </row>
    <row r="289" spans="2:11" s="12" customFormat="1">
      <c r="B289" s="10"/>
      <c r="C289" s="11"/>
      <c r="E289" s="10"/>
      <c r="F289" s="11"/>
      <c r="G289" s="11"/>
      <c r="H289" s="11"/>
      <c r="I289" s="11"/>
      <c r="J289" s="11"/>
      <c r="K289" s="11"/>
    </row>
    <row r="290" spans="2:11" s="12" customFormat="1">
      <c r="B290" s="10"/>
      <c r="C290" s="11"/>
      <c r="E290" s="10"/>
      <c r="F290" s="11"/>
      <c r="G290" s="11"/>
      <c r="H290" s="11"/>
      <c r="I290" s="11"/>
      <c r="J290" s="11"/>
      <c r="K290" s="11"/>
    </row>
    <row r="291" spans="2:11" s="12" customFormat="1">
      <c r="B291" s="10"/>
      <c r="C291" s="11"/>
      <c r="E291" s="10"/>
      <c r="F291" s="11"/>
      <c r="G291" s="11"/>
      <c r="H291" s="11"/>
      <c r="I291" s="11"/>
      <c r="J291" s="11"/>
      <c r="K291" s="11"/>
    </row>
    <row r="292" spans="2:11" s="12" customFormat="1">
      <c r="B292" s="10"/>
      <c r="C292" s="11"/>
      <c r="E292" s="10"/>
      <c r="F292" s="11"/>
      <c r="G292" s="11"/>
      <c r="H292" s="11"/>
      <c r="I292" s="11"/>
      <c r="J292" s="11"/>
      <c r="K292" s="11"/>
    </row>
    <row r="293" spans="2:11" s="12" customFormat="1">
      <c r="B293" s="10"/>
      <c r="C293" s="11"/>
      <c r="E293" s="10"/>
      <c r="F293" s="11"/>
      <c r="G293" s="11"/>
      <c r="H293" s="11"/>
      <c r="I293" s="11"/>
      <c r="J293" s="11"/>
      <c r="K293" s="11"/>
    </row>
    <row r="294" spans="2:11" s="12" customFormat="1">
      <c r="B294" s="10"/>
      <c r="C294" s="11"/>
      <c r="E294" s="10"/>
      <c r="F294" s="11"/>
      <c r="G294" s="11"/>
      <c r="H294" s="11"/>
      <c r="I294" s="11"/>
      <c r="J294" s="11"/>
      <c r="K294" s="11"/>
    </row>
    <row r="295" spans="2:11" s="12" customFormat="1">
      <c r="B295" s="10"/>
      <c r="C295" s="11"/>
      <c r="E295" s="10"/>
      <c r="F295" s="11"/>
      <c r="G295" s="11"/>
      <c r="H295" s="11"/>
      <c r="I295" s="11"/>
      <c r="J295" s="11"/>
      <c r="K295" s="11"/>
    </row>
    <row r="296" spans="2:11" s="12" customFormat="1">
      <c r="B296" s="10"/>
      <c r="C296" s="11"/>
      <c r="E296" s="10"/>
      <c r="F296" s="11"/>
      <c r="G296" s="11"/>
      <c r="H296" s="11"/>
      <c r="I296" s="11"/>
      <c r="J296" s="11"/>
      <c r="K296" s="11"/>
    </row>
    <row r="297" spans="2:11" s="12" customFormat="1">
      <c r="B297" s="10"/>
      <c r="C297" s="11"/>
      <c r="E297" s="10"/>
      <c r="F297" s="11"/>
      <c r="G297" s="11"/>
      <c r="H297" s="11"/>
      <c r="I297" s="11"/>
      <c r="J297" s="11"/>
      <c r="K297" s="11"/>
    </row>
    <row r="298" spans="2:11" s="12" customFormat="1">
      <c r="B298" s="10"/>
      <c r="C298" s="11"/>
      <c r="E298" s="10"/>
      <c r="F298" s="11"/>
      <c r="G298" s="11"/>
      <c r="H298" s="11"/>
      <c r="I298" s="11"/>
      <c r="J298" s="11"/>
      <c r="K298" s="11"/>
    </row>
    <row r="299" spans="2:11" s="12" customFormat="1">
      <c r="B299" s="10"/>
      <c r="C299" s="11"/>
      <c r="E299" s="10"/>
      <c r="F299" s="11"/>
      <c r="G299" s="11"/>
      <c r="H299" s="11"/>
      <c r="I299" s="11"/>
      <c r="J299" s="11"/>
      <c r="K299" s="11"/>
    </row>
    <row r="300" spans="2:11" s="12" customFormat="1">
      <c r="B300" s="10"/>
      <c r="C300" s="11"/>
      <c r="E300" s="10"/>
      <c r="F300" s="11"/>
      <c r="G300" s="11"/>
      <c r="H300" s="11"/>
      <c r="I300" s="11"/>
      <c r="J300" s="11"/>
      <c r="K300" s="11"/>
    </row>
    <row r="301" spans="2:11" s="12" customFormat="1">
      <c r="B301" s="10"/>
      <c r="C301" s="11"/>
      <c r="E301" s="10"/>
      <c r="F301" s="11"/>
      <c r="G301" s="11"/>
      <c r="H301" s="11"/>
      <c r="I301" s="11"/>
      <c r="J301" s="11"/>
      <c r="K301" s="11"/>
    </row>
    <row r="302" spans="2:11" s="12" customFormat="1">
      <c r="B302" s="10"/>
      <c r="C302" s="11"/>
      <c r="E302" s="10"/>
      <c r="F302" s="11"/>
      <c r="G302" s="11"/>
      <c r="H302" s="11"/>
      <c r="I302" s="11"/>
      <c r="J302" s="11"/>
      <c r="K302" s="11"/>
    </row>
    <row r="303" spans="2:11" s="12" customFormat="1">
      <c r="B303" s="10"/>
      <c r="C303" s="11"/>
      <c r="E303" s="10"/>
      <c r="F303" s="11"/>
      <c r="G303" s="11"/>
      <c r="H303" s="11"/>
      <c r="I303" s="11"/>
      <c r="J303" s="11"/>
      <c r="K303" s="11"/>
    </row>
    <row r="304" spans="2:11" s="12" customFormat="1">
      <c r="B304" s="10"/>
      <c r="C304" s="11"/>
      <c r="E304" s="10"/>
      <c r="F304" s="11"/>
      <c r="G304" s="11"/>
      <c r="H304" s="11"/>
      <c r="I304" s="11"/>
      <c r="J304" s="11"/>
      <c r="K304" s="11"/>
    </row>
    <row r="305" spans="2:11" s="12" customFormat="1">
      <c r="B305" s="10"/>
      <c r="C305" s="11"/>
      <c r="E305" s="10"/>
      <c r="F305" s="11"/>
      <c r="G305" s="11"/>
      <c r="H305" s="11"/>
      <c r="I305" s="11"/>
      <c r="J305" s="11"/>
      <c r="K305" s="11"/>
    </row>
    <row r="306" spans="2:11" s="12" customFormat="1">
      <c r="B306" s="10"/>
      <c r="C306" s="11"/>
      <c r="E306" s="10"/>
      <c r="F306" s="11"/>
      <c r="G306" s="11"/>
      <c r="H306" s="11"/>
      <c r="I306" s="11"/>
      <c r="J306" s="11"/>
      <c r="K306" s="11"/>
    </row>
    <row r="307" spans="2:11" s="12" customFormat="1">
      <c r="B307" s="10"/>
      <c r="C307" s="11"/>
      <c r="E307" s="10"/>
      <c r="F307" s="11"/>
      <c r="G307" s="11"/>
      <c r="H307" s="11"/>
      <c r="I307" s="11"/>
      <c r="J307" s="11"/>
      <c r="K307" s="11"/>
    </row>
    <row r="308" spans="2:11" s="12" customFormat="1">
      <c r="B308" s="10"/>
      <c r="C308" s="11"/>
      <c r="E308" s="10"/>
      <c r="F308" s="11"/>
      <c r="G308" s="11"/>
      <c r="H308" s="11"/>
      <c r="I308" s="11"/>
      <c r="J308" s="11"/>
      <c r="K308" s="11"/>
    </row>
    <row r="309" spans="2:11" s="12" customFormat="1">
      <c r="B309" s="10"/>
      <c r="C309" s="11"/>
      <c r="E309" s="10"/>
      <c r="F309" s="11"/>
      <c r="G309" s="11"/>
      <c r="H309" s="11"/>
      <c r="I309" s="11"/>
      <c r="J309" s="11"/>
      <c r="K309" s="11"/>
    </row>
    <row r="310" spans="2:11" s="12" customFormat="1">
      <c r="B310" s="10"/>
      <c r="C310" s="11"/>
      <c r="E310" s="10"/>
      <c r="F310" s="11"/>
      <c r="G310" s="11"/>
      <c r="H310" s="11"/>
      <c r="I310" s="11"/>
      <c r="J310" s="11"/>
      <c r="K310" s="11"/>
    </row>
    <row r="311" spans="2:11" s="12" customFormat="1">
      <c r="B311" s="10"/>
      <c r="C311" s="11"/>
      <c r="E311" s="10"/>
      <c r="F311" s="11"/>
      <c r="G311" s="11"/>
      <c r="H311" s="11"/>
      <c r="I311" s="11"/>
      <c r="J311" s="11"/>
      <c r="K311" s="11"/>
    </row>
    <row r="312" spans="2:11" s="12" customFormat="1">
      <c r="B312" s="10"/>
      <c r="C312" s="11"/>
      <c r="E312" s="10"/>
      <c r="F312" s="11"/>
      <c r="G312" s="11"/>
      <c r="H312" s="11"/>
      <c r="I312" s="11"/>
      <c r="J312" s="11"/>
      <c r="K312" s="11"/>
    </row>
    <row r="313" spans="2:11" s="12" customFormat="1">
      <c r="B313" s="10"/>
      <c r="C313" s="11"/>
      <c r="E313" s="10"/>
      <c r="F313" s="11"/>
      <c r="G313" s="11"/>
      <c r="H313" s="11"/>
      <c r="I313" s="11"/>
      <c r="J313" s="11"/>
      <c r="K313" s="11"/>
    </row>
    <row r="314" spans="2:11" s="12" customFormat="1">
      <c r="B314" s="10"/>
      <c r="C314" s="11"/>
      <c r="E314" s="10"/>
      <c r="F314" s="11"/>
      <c r="G314" s="11"/>
      <c r="H314" s="11"/>
      <c r="I314" s="11"/>
      <c r="J314" s="11"/>
      <c r="K314" s="11"/>
    </row>
    <row r="315" spans="2:11" s="12" customFormat="1">
      <c r="B315" s="10"/>
      <c r="C315" s="11"/>
      <c r="E315" s="10"/>
      <c r="F315" s="11"/>
      <c r="G315" s="11"/>
      <c r="H315" s="11"/>
      <c r="I315" s="11"/>
      <c r="J315" s="11"/>
      <c r="K315" s="11"/>
    </row>
    <row r="316" spans="2:11" s="12" customFormat="1">
      <c r="B316" s="10"/>
      <c r="C316" s="11"/>
      <c r="E316" s="10"/>
      <c r="F316" s="11"/>
      <c r="G316" s="11"/>
      <c r="H316" s="11"/>
      <c r="I316" s="11"/>
      <c r="J316" s="11"/>
      <c r="K316" s="11"/>
    </row>
    <row r="317" spans="2:11" s="12" customFormat="1">
      <c r="B317" s="10"/>
      <c r="C317" s="11"/>
      <c r="E317" s="10"/>
      <c r="F317" s="11"/>
      <c r="G317" s="11"/>
      <c r="H317" s="11"/>
      <c r="I317" s="11"/>
      <c r="J317" s="11"/>
      <c r="K317" s="11"/>
    </row>
    <row r="318" spans="2:11" s="12" customFormat="1">
      <c r="B318" s="10"/>
      <c r="C318" s="11"/>
      <c r="E318" s="10"/>
      <c r="F318" s="11"/>
      <c r="G318" s="11"/>
      <c r="H318" s="11"/>
      <c r="I318" s="11"/>
      <c r="J318" s="11"/>
      <c r="K318" s="11"/>
    </row>
    <row r="319" spans="2:11" s="12" customFormat="1">
      <c r="B319" s="10"/>
      <c r="C319" s="11"/>
      <c r="E319" s="10"/>
      <c r="F319" s="11"/>
      <c r="G319" s="11"/>
      <c r="H319" s="11"/>
      <c r="I319" s="11"/>
      <c r="J319" s="11"/>
      <c r="K319" s="11"/>
    </row>
    <row r="320" spans="2:11" s="12" customFormat="1">
      <c r="B320" s="10"/>
      <c r="C320" s="11"/>
      <c r="E320" s="10"/>
      <c r="F320" s="11"/>
      <c r="G320" s="11"/>
      <c r="H320" s="11"/>
      <c r="I320" s="11"/>
      <c r="J320" s="11"/>
      <c r="K320" s="11"/>
    </row>
    <row r="321" spans="2:11" s="12" customFormat="1">
      <c r="B321" s="10"/>
      <c r="C321" s="11"/>
      <c r="E321" s="10"/>
      <c r="F321" s="11"/>
      <c r="G321" s="11"/>
      <c r="H321" s="11"/>
      <c r="I321" s="11"/>
      <c r="J321" s="11"/>
      <c r="K321" s="11"/>
    </row>
    <row r="322" spans="2:11" s="12" customFormat="1">
      <c r="B322" s="10"/>
      <c r="C322" s="11"/>
      <c r="E322" s="10"/>
      <c r="F322" s="11"/>
      <c r="G322" s="11"/>
      <c r="H322" s="11"/>
      <c r="I322" s="11"/>
      <c r="J322" s="11"/>
      <c r="K322" s="11"/>
    </row>
    <row r="323" spans="2:11" s="12" customFormat="1">
      <c r="B323" s="10"/>
      <c r="C323" s="11"/>
      <c r="E323" s="10"/>
      <c r="F323" s="11"/>
      <c r="G323" s="11"/>
      <c r="H323" s="11"/>
      <c r="I323" s="11"/>
      <c r="J323" s="11"/>
      <c r="K323" s="11"/>
    </row>
    <row r="324" spans="2:11" s="12" customFormat="1">
      <c r="B324" s="10"/>
      <c r="C324" s="11"/>
      <c r="E324" s="10"/>
      <c r="F324" s="11"/>
      <c r="G324" s="11"/>
      <c r="H324" s="11"/>
      <c r="I324" s="11"/>
      <c r="J324" s="11"/>
      <c r="K324" s="11"/>
    </row>
    <row r="325" spans="2:11" s="12" customFormat="1">
      <c r="B325" s="10"/>
      <c r="C325" s="11"/>
      <c r="E325" s="10"/>
      <c r="F325" s="11"/>
      <c r="G325" s="11"/>
      <c r="H325" s="11"/>
      <c r="I325" s="11"/>
      <c r="J325" s="11"/>
      <c r="K325" s="11"/>
    </row>
    <row r="326" spans="2:11" s="12" customFormat="1">
      <c r="B326" s="10"/>
      <c r="C326" s="11"/>
      <c r="E326" s="10"/>
      <c r="F326" s="11"/>
      <c r="G326" s="11"/>
      <c r="H326" s="11"/>
      <c r="I326" s="11"/>
      <c r="J326" s="11"/>
      <c r="K326" s="11"/>
    </row>
    <row r="327" spans="2:11" s="12" customFormat="1">
      <c r="B327" s="10"/>
      <c r="C327" s="11"/>
      <c r="E327" s="10"/>
      <c r="F327" s="11"/>
      <c r="G327" s="11"/>
      <c r="H327" s="11"/>
      <c r="I327" s="11"/>
      <c r="J327" s="11"/>
      <c r="K327" s="11"/>
    </row>
    <row r="328" spans="2:11" s="12" customFormat="1">
      <c r="B328" s="10"/>
      <c r="C328" s="11"/>
      <c r="E328" s="10"/>
      <c r="F328" s="11"/>
      <c r="G328" s="11"/>
      <c r="H328" s="11"/>
      <c r="I328" s="11"/>
      <c r="J328" s="11"/>
      <c r="K328" s="11"/>
    </row>
    <row r="329" spans="2:11" s="12" customFormat="1">
      <c r="B329" s="10"/>
      <c r="C329" s="11"/>
      <c r="E329" s="10"/>
      <c r="F329" s="11"/>
      <c r="G329" s="11"/>
      <c r="H329" s="11"/>
      <c r="I329" s="11"/>
      <c r="J329" s="11"/>
      <c r="K329" s="11"/>
    </row>
    <row r="330" spans="2:11" s="12" customFormat="1">
      <c r="B330" s="10"/>
      <c r="C330" s="11"/>
      <c r="E330" s="10"/>
      <c r="F330" s="11"/>
      <c r="G330" s="11"/>
      <c r="H330" s="11"/>
      <c r="I330" s="11"/>
      <c r="J330" s="11"/>
      <c r="K330" s="11"/>
    </row>
    <row r="331" spans="2:11" s="12" customFormat="1">
      <c r="B331" s="10"/>
      <c r="C331" s="11"/>
      <c r="E331" s="10"/>
      <c r="F331" s="11"/>
      <c r="G331" s="11"/>
      <c r="H331" s="11"/>
      <c r="I331" s="11"/>
      <c r="J331" s="11"/>
      <c r="K331" s="11"/>
    </row>
    <row r="332" spans="2:11" s="12" customFormat="1">
      <c r="B332" s="10"/>
      <c r="C332" s="11"/>
      <c r="E332" s="10"/>
      <c r="F332" s="11"/>
      <c r="G332" s="11"/>
      <c r="H332" s="11"/>
      <c r="I332" s="11"/>
      <c r="J332" s="11"/>
      <c r="K332" s="11"/>
    </row>
    <row r="333" spans="2:11" s="12" customFormat="1">
      <c r="B333" s="10"/>
      <c r="C333" s="11"/>
      <c r="E333" s="10"/>
      <c r="F333" s="11"/>
      <c r="G333" s="11"/>
      <c r="H333" s="11"/>
      <c r="I333" s="11"/>
      <c r="J333" s="11"/>
      <c r="K333" s="11"/>
    </row>
    <row r="334" spans="2:11" s="12" customFormat="1">
      <c r="B334" s="10"/>
      <c r="C334" s="11"/>
      <c r="E334" s="10"/>
      <c r="F334" s="11"/>
      <c r="G334" s="11"/>
      <c r="H334" s="11"/>
      <c r="I334" s="11"/>
      <c r="J334" s="11"/>
      <c r="K334" s="11"/>
    </row>
    <row r="335" spans="2:11" s="12" customFormat="1">
      <c r="B335" s="10"/>
      <c r="C335" s="11"/>
      <c r="E335" s="10"/>
      <c r="F335" s="11"/>
      <c r="G335" s="11"/>
      <c r="H335" s="11"/>
      <c r="I335" s="11"/>
      <c r="J335" s="11"/>
      <c r="K335" s="11"/>
    </row>
    <row r="336" spans="2:11" s="12" customFormat="1">
      <c r="B336" s="10"/>
      <c r="C336" s="11"/>
      <c r="E336" s="10"/>
      <c r="F336" s="11"/>
      <c r="G336" s="11"/>
      <c r="H336" s="11"/>
      <c r="I336" s="11"/>
      <c r="J336" s="11"/>
      <c r="K336" s="11"/>
    </row>
    <row r="337" spans="2:11" s="12" customFormat="1">
      <c r="B337" s="10"/>
      <c r="C337" s="11"/>
      <c r="E337" s="10"/>
      <c r="F337" s="11"/>
      <c r="G337" s="11"/>
      <c r="H337" s="11"/>
      <c r="I337" s="11"/>
      <c r="J337" s="11"/>
      <c r="K337" s="11"/>
    </row>
    <row r="338" spans="2:11" s="12" customFormat="1">
      <c r="B338" s="10"/>
      <c r="C338" s="11"/>
      <c r="E338" s="10"/>
      <c r="F338" s="11"/>
      <c r="G338" s="11"/>
      <c r="H338" s="11"/>
      <c r="I338" s="11"/>
      <c r="J338" s="11"/>
      <c r="K338" s="11"/>
    </row>
    <row r="339" spans="2:11" s="12" customFormat="1">
      <c r="B339" s="10"/>
      <c r="C339" s="11"/>
      <c r="E339" s="10"/>
      <c r="F339" s="11"/>
      <c r="G339" s="11"/>
      <c r="H339" s="11"/>
      <c r="I339" s="11"/>
      <c r="J339" s="11"/>
      <c r="K339" s="11"/>
    </row>
    <row r="340" spans="2:11" s="12" customFormat="1">
      <c r="B340" s="10"/>
      <c r="C340" s="11"/>
      <c r="E340" s="10"/>
      <c r="F340" s="11"/>
      <c r="G340" s="11"/>
      <c r="H340" s="11"/>
      <c r="I340" s="11"/>
      <c r="J340" s="11"/>
      <c r="K340" s="11"/>
    </row>
    <row r="341" spans="2:11" s="12" customFormat="1">
      <c r="B341" s="10"/>
      <c r="C341" s="11"/>
      <c r="E341" s="10"/>
      <c r="F341" s="11"/>
      <c r="G341" s="11"/>
      <c r="H341" s="11"/>
      <c r="I341" s="11"/>
      <c r="J341" s="11"/>
      <c r="K341" s="11"/>
    </row>
    <row r="342" spans="2:11" s="12" customFormat="1">
      <c r="B342" s="10"/>
      <c r="C342" s="11"/>
      <c r="E342" s="10"/>
      <c r="F342" s="11"/>
      <c r="G342" s="11"/>
      <c r="H342" s="11"/>
      <c r="I342" s="11"/>
      <c r="J342" s="11"/>
      <c r="K342" s="11"/>
    </row>
    <row r="343" spans="2:11" s="12" customFormat="1">
      <c r="B343" s="10"/>
      <c r="C343" s="11"/>
      <c r="E343" s="10"/>
      <c r="F343" s="11"/>
      <c r="G343" s="11"/>
      <c r="H343" s="11"/>
      <c r="I343" s="11"/>
      <c r="J343" s="11"/>
      <c r="K343" s="11"/>
    </row>
    <row r="344" spans="2:11" s="12" customFormat="1">
      <c r="B344" s="10"/>
      <c r="C344" s="11"/>
      <c r="E344" s="10"/>
      <c r="F344" s="11"/>
      <c r="G344" s="11"/>
      <c r="H344" s="11"/>
      <c r="I344" s="11"/>
      <c r="J344" s="11"/>
      <c r="K344" s="11"/>
    </row>
    <row r="345" spans="2:11" s="12" customFormat="1">
      <c r="B345" s="10"/>
      <c r="C345" s="11"/>
      <c r="E345" s="10"/>
      <c r="F345" s="11"/>
      <c r="G345" s="11"/>
      <c r="H345" s="11"/>
      <c r="I345" s="11"/>
      <c r="J345" s="11"/>
      <c r="K345" s="11"/>
    </row>
    <row r="346" spans="2:11" s="12" customFormat="1">
      <c r="B346" s="10"/>
      <c r="C346" s="11"/>
      <c r="E346" s="10"/>
      <c r="F346" s="11"/>
      <c r="G346" s="11"/>
      <c r="H346" s="11"/>
      <c r="I346" s="11"/>
      <c r="J346" s="11"/>
      <c r="K346" s="11"/>
    </row>
    <row r="347" spans="2:11" s="12" customFormat="1">
      <c r="B347" s="10"/>
      <c r="C347" s="11"/>
      <c r="E347" s="10"/>
      <c r="F347" s="11"/>
      <c r="G347" s="11"/>
      <c r="H347" s="11"/>
      <c r="I347" s="11"/>
      <c r="J347" s="11"/>
      <c r="K347" s="11"/>
    </row>
    <row r="348" spans="2:11" s="12" customFormat="1">
      <c r="B348" s="10"/>
      <c r="C348" s="11"/>
      <c r="E348" s="10"/>
      <c r="F348" s="11"/>
      <c r="G348" s="11"/>
      <c r="H348" s="11"/>
      <c r="I348" s="11"/>
      <c r="J348" s="11"/>
      <c r="K348" s="11"/>
    </row>
    <row r="349" spans="2:11" s="12" customFormat="1">
      <c r="B349" s="10"/>
      <c r="C349" s="11"/>
      <c r="E349" s="10"/>
      <c r="F349" s="11"/>
      <c r="G349" s="11"/>
      <c r="H349" s="11"/>
      <c r="I349" s="11"/>
      <c r="J349" s="11"/>
      <c r="K349" s="11"/>
    </row>
    <row r="350" spans="2:11" s="12" customFormat="1">
      <c r="B350" s="10"/>
      <c r="C350" s="11"/>
      <c r="E350" s="10"/>
      <c r="F350" s="11"/>
      <c r="G350" s="11"/>
      <c r="H350" s="11"/>
      <c r="I350" s="11"/>
      <c r="J350" s="11"/>
      <c r="K350" s="11"/>
    </row>
    <row r="351" spans="2:11" s="12" customFormat="1">
      <c r="B351" s="10"/>
      <c r="C351" s="11"/>
      <c r="E351" s="10"/>
      <c r="F351" s="11"/>
      <c r="G351" s="11"/>
      <c r="H351" s="11"/>
      <c r="I351" s="11"/>
      <c r="J351" s="11"/>
      <c r="K351" s="11"/>
    </row>
    <row r="352" spans="2:11" s="12" customFormat="1">
      <c r="B352" s="10"/>
      <c r="C352" s="11"/>
      <c r="E352" s="10"/>
      <c r="F352" s="11"/>
      <c r="G352" s="11"/>
      <c r="H352" s="11"/>
      <c r="I352" s="11"/>
      <c r="J352" s="11"/>
      <c r="K352" s="11"/>
    </row>
    <row r="353" spans="2:11" s="12" customFormat="1">
      <c r="B353" s="10"/>
      <c r="C353" s="11"/>
      <c r="E353" s="10"/>
      <c r="F353" s="11"/>
      <c r="G353" s="11"/>
      <c r="H353" s="11"/>
      <c r="I353" s="11"/>
      <c r="J353" s="11"/>
      <c r="K353" s="11"/>
    </row>
    <row r="354" spans="2:11" s="12" customFormat="1">
      <c r="B354" s="10"/>
      <c r="C354" s="11"/>
      <c r="E354" s="10"/>
      <c r="F354" s="11"/>
      <c r="G354" s="11"/>
      <c r="H354" s="11"/>
      <c r="I354" s="11"/>
      <c r="J354" s="11"/>
      <c r="K354" s="11"/>
    </row>
    <row r="355" spans="2:11" s="12" customFormat="1">
      <c r="B355" s="10"/>
      <c r="C355" s="11"/>
      <c r="E355" s="10"/>
      <c r="F355" s="11"/>
      <c r="G355" s="11"/>
      <c r="H355" s="11"/>
      <c r="I355" s="11"/>
      <c r="J355" s="11"/>
      <c r="K355" s="11"/>
    </row>
    <row r="356" spans="2:11" s="12" customFormat="1">
      <c r="B356" s="10"/>
      <c r="C356" s="11"/>
      <c r="E356" s="10"/>
      <c r="F356" s="11"/>
      <c r="G356" s="11"/>
      <c r="H356" s="11"/>
      <c r="I356" s="11"/>
      <c r="J356" s="11"/>
      <c r="K356" s="11"/>
    </row>
    <row r="357" spans="2:11" s="12" customFormat="1">
      <c r="B357" s="10"/>
      <c r="C357" s="11"/>
      <c r="E357" s="10"/>
      <c r="F357" s="11"/>
      <c r="G357" s="11"/>
      <c r="H357" s="11"/>
      <c r="I357" s="11"/>
      <c r="J357" s="11"/>
      <c r="K357" s="11"/>
    </row>
    <row r="358" spans="2:11" s="12" customFormat="1">
      <c r="B358" s="10"/>
      <c r="C358" s="11"/>
      <c r="E358" s="10"/>
      <c r="F358" s="11"/>
      <c r="G358" s="11"/>
      <c r="H358" s="11"/>
      <c r="I358" s="11"/>
      <c r="J358" s="11"/>
      <c r="K358" s="11"/>
    </row>
    <row r="359" spans="2:11" s="12" customFormat="1">
      <c r="B359" s="10"/>
      <c r="C359" s="11"/>
      <c r="E359" s="10"/>
      <c r="F359" s="11"/>
      <c r="G359" s="11"/>
      <c r="H359" s="11"/>
      <c r="I359" s="11"/>
      <c r="J359" s="11"/>
      <c r="K359" s="11"/>
    </row>
    <row r="360" spans="2:11" s="12" customFormat="1">
      <c r="B360" s="10"/>
      <c r="C360" s="11"/>
      <c r="E360" s="10"/>
      <c r="F360" s="11"/>
      <c r="G360" s="11"/>
      <c r="H360" s="11"/>
      <c r="I360" s="11"/>
      <c r="J360" s="11"/>
      <c r="K360" s="11"/>
    </row>
    <row r="361" spans="2:11" s="12" customFormat="1">
      <c r="B361" s="10"/>
      <c r="C361" s="11"/>
      <c r="E361" s="10"/>
      <c r="F361" s="11"/>
      <c r="G361" s="11"/>
      <c r="H361" s="11"/>
      <c r="I361" s="11"/>
      <c r="J361" s="11"/>
      <c r="K361" s="11"/>
    </row>
    <row r="362" spans="2:11" s="12" customFormat="1">
      <c r="B362" s="10"/>
      <c r="C362" s="11"/>
      <c r="E362" s="10"/>
      <c r="F362" s="11"/>
      <c r="G362" s="11"/>
      <c r="H362" s="11"/>
      <c r="I362" s="11"/>
      <c r="J362" s="11"/>
      <c r="K362" s="11"/>
    </row>
    <row r="363" spans="2:11" s="12" customFormat="1">
      <c r="B363" s="10"/>
      <c r="C363" s="11"/>
      <c r="E363" s="10"/>
      <c r="F363" s="11"/>
      <c r="G363" s="11"/>
      <c r="H363" s="11"/>
      <c r="I363" s="11"/>
      <c r="J363" s="11"/>
      <c r="K363" s="11"/>
    </row>
    <row r="364" spans="2:11" s="12" customFormat="1">
      <c r="B364" s="10"/>
      <c r="C364" s="11"/>
      <c r="E364" s="10"/>
      <c r="F364" s="11"/>
      <c r="G364" s="11"/>
      <c r="H364" s="11"/>
      <c r="I364" s="11"/>
      <c r="J364" s="11"/>
      <c r="K364" s="11"/>
    </row>
    <row r="365" spans="2:11" s="12" customFormat="1">
      <c r="B365" s="10"/>
      <c r="C365" s="11"/>
      <c r="E365" s="10"/>
      <c r="F365" s="11"/>
      <c r="G365" s="11"/>
      <c r="H365" s="11"/>
      <c r="I365" s="11"/>
      <c r="J365" s="11"/>
      <c r="K365" s="11"/>
    </row>
    <row r="366" spans="2:11" s="12" customFormat="1">
      <c r="B366" s="10"/>
      <c r="C366" s="11"/>
      <c r="E366" s="10"/>
      <c r="F366" s="11"/>
      <c r="G366" s="11"/>
      <c r="H366" s="11"/>
      <c r="I366" s="11"/>
      <c r="J366" s="11"/>
      <c r="K366" s="11"/>
    </row>
    <row r="367" spans="2:11" s="12" customFormat="1">
      <c r="B367" s="10"/>
      <c r="C367" s="11"/>
      <c r="E367" s="10"/>
      <c r="F367" s="11"/>
      <c r="G367" s="11"/>
      <c r="H367" s="11"/>
      <c r="I367" s="11"/>
      <c r="J367" s="11"/>
      <c r="K367" s="11"/>
    </row>
    <row r="368" spans="2:11" s="12" customFormat="1">
      <c r="B368" s="10"/>
      <c r="C368" s="11"/>
      <c r="E368" s="10"/>
      <c r="F368" s="11"/>
      <c r="G368" s="11"/>
      <c r="H368" s="11"/>
      <c r="I368" s="11"/>
      <c r="J368" s="11"/>
      <c r="K368" s="11"/>
    </row>
    <row r="369" spans="2:11" s="12" customFormat="1">
      <c r="B369" s="10"/>
      <c r="C369" s="11"/>
      <c r="E369" s="10"/>
      <c r="F369" s="11"/>
      <c r="G369" s="11"/>
      <c r="H369" s="11"/>
      <c r="I369" s="11"/>
      <c r="J369" s="11"/>
      <c r="K369" s="11"/>
    </row>
    <row r="370" spans="2:11" s="12" customFormat="1">
      <c r="B370" s="10"/>
      <c r="C370" s="11"/>
      <c r="E370" s="10"/>
      <c r="F370" s="11"/>
      <c r="G370" s="11"/>
      <c r="H370" s="11"/>
      <c r="I370" s="11"/>
      <c r="J370" s="11"/>
      <c r="K370" s="11"/>
    </row>
    <row r="371" spans="2:11" s="12" customFormat="1">
      <c r="B371" s="10"/>
      <c r="C371" s="11"/>
      <c r="E371" s="10"/>
      <c r="F371" s="11"/>
      <c r="G371" s="11"/>
      <c r="H371" s="11"/>
      <c r="I371" s="11"/>
      <c r="J371" s="11"/>
      <c r="K371" s="11"/>
    </row>
    <row r="372" spans="2:11" s="12" customFormat="1">
      <c r="B372" s="10"/>
      <c r="C372" s="11"/>
      <c r="E372" s="10"/>
      <c r="F372" s="11"/>
      <c r="G372" s="11"/>
      <c r="H372" s="11"/>
      <c r="I372" s="11"/>
      <c r="J372" s="11"/>
      <c r="K372" s="11"/>
    </row>
    <row r="373" spans="2:11" s="12" customFormat="1">
      <c r="B373" s="10"/>
      <c r="C373" s="11"/>
      <c r="E373" s="10"/>
      <c r="F373" s="11"/>
      <c r="G373" s="11"/>
      <c r="H373" s="11"/>
      <c r="I373" s="11"/>
      <c r="J373" s="11"/>
      <c r="K373" s="11"/>
    </row>
    <row r="374" spans="2:11" s="12" customFormat="1">
      <c r="B374" s="10"/>
      <c r="C374" s="11"/>
      <c r="E374" s="10"/>
      <c r="F374" s="11"/>
      <c r="G374" s="11"/>
      <c r="H374" s="11"/>
      <c r="I374" s="11"/>
      <c r="J374" s="11"/>
      <c r="K374" s="11"/>
    </row>
    <row r="375" spans="2:11" s="12" customFormat="1">
      <c r="B375" s="10"/>
      <c r="C375" s="11"/>
      <c r="E375" s="10"/>
      <c r="F375" s="11"/>
      <c r="G375" s="11"/>
      <c r="H375" s="11"/>
      <c r="I375" s="11"/>
      <c r="J375" s="11"/>
      <c r="K375" s="11"/>
    </row>
    <row r="376" spans="2:11" s="12" customFormat="1">
      <c r="B376" s="10"/>
      <c r="C376" s="11"/>
      <c r="E376" s="10"/>
      <c r="F376" s="11"/>
      <c r="G376" s="11"/>
      <c r="H376" s="11"/>
      <c r="I376" s="11"/>
      <c r="J376" s="11"/>
      <c r="K376" s="11"/>
    </row>
    <row r="377" spans="2:11" s="12" customFormat="1">
      <c r="B377" s="10"/>
      <c r="C377" s="11"/>
      <c r="E377" s="10"/>
      <c r="F377" s="11"/>
      <c r="G377" s="11"/>
      <c r="H377" s="11"/>
      <c r="I377" s="11"/>
      <c r="J377" s="11"/>
      <c r="K377" s="11"/>
    </row>
    <row r="378" spans="2:11" s="12" customFormat="1">
      <c r="B378" s="10"/>
      <c r="C378" s="11"/>
      <c r="E378" s="10"/>
      <c r="F378" s="11"/>
      <c r="G378" s="11"/>
      <c r="H378" s="11"/>
      <c r="I378" s="11"/>
      <c r="J378" s="11"/>
      <c r="K378" s="11"/>
    </row>
    <row r="379" spans="2:11" s="12" customFormat="1">
      <c r="B379" s="10"/>
      <c r="C379" s="11"/>
      <c r="E379" s="10"/>
      <c r="F379" s="11"/>
      <c r="G379" s="11"/>
      <c r="H379" s="11"/>
      <c r="I379" s="11"/>
      <c r="J379" s="11"/>
      <c r="K379" s="11"/>
    </row>
    <row r="380" spans="2:11" s="12" customFormat="1">
      <c r="B380" s="10"/>
      <c r="C380" s="11"/>
      <c r="E380" s="10"/>
      <c r="F380" s="11"/>
      <c r="G380" s="11"/>
      <c r="H380" s="11"/>
      <c r="I380" s="11"/>
      <c r="J380" s="11"/>
      <c r="K380" s="11"/>
    </row>
    <row r="381" spans="2:11" s="12" customFormat="1">
      <c r="B381" s="10"/>
      <c r="C381" s="11"/>
      <c r="E381" s="10"/>
      <c r="F381" s="11"/>
      <c r="G381" s="11"/>
      <c r="H381" s="11"/>
      <c r="I381" s="11"/>
      <c r="J381" s="11"/>
      <c r="K381" s="11"/>
    </row>
    <row r="382" spans="2:11" s="12" customFormat="1">
      <c r="B382" s="10"/>
      <c r="C382" s="11"/>
      <c r="E382" s="10"/>
      <c r="F382" s="11"/>
      <c r="G382" s="11"/>
      <c r="H382" s="11"/>
      <c r="I382" s="11"/>
      <c r="J382" s="11"/>
      <c r="K382" s="11"/>
    </row>
    <row r="383" spans="2:11" s="12" customFormat="1">
      <c r="B383" s="10"/>
      <c r="C383" s="11"/>
      <c r="E383" s="10"/>
      <c r="F383" s="11"/>
      <c r="G383" s="11"/>
      <c r="H383" s="11"/>
      <c r="I383" s="11"/>
      <c r="J383" s="11"/>
      <c r="K383" s="11"/>
    </row>
    <row r="384" spans="2:11" s="12" customFormat="1">
      <c r="B384" s="10"/>
      <c r="C384" s="11"/>
      <c r="E384" s="10"/>
      <c r="F384" s="11"/>
      <c r="G384" s="11"/>
      <c r="H384" s="11"/>
      <c r="I384" s="11"/>
      <c r="J384" s="11"/>
      <c r="K384" s="11"/>
    </row>
    <row r="385" spans="2:11" s="12" customFormat="1">
      <c r="B385" s="10"/>
      <c r="C385" s="11"/>
      <c r="E385" s="10"/>
      <c r="F385" s="11"/>
      <c r="G385" s="11"/>
      <c r="H385" s="11"/>
      <c r="I385" s="11"/>
      <c r="J385" s="11"/>
      <c r="K385" s="11"/>
    </row>
    <row r="386" spans="2:11" s="12" customFormat="1">
      <c r="B386" s="10"/>
      <c r="C386" s="11"/>
      <c r="E386" s="10"/>
      <c r="F386" s="11"/>
      <c r="G386" s="11"/>
      <c r="H386" s="11"/>
      <c r="I386" s="11"/>
      <c r="J386" s="11"/>
      <c r="K386" s="11"/>
    </row>
    <row r="387" spans="2:11" s="12" customFormat="1">
      <c r="B387" s="10"/>
      <c r="C387" s="11"/>
      <c r="E387" s="10"/>
      <c r="F387" s="11"/>
      <c r="G387" s="11"/>
      <c r="H387" s="11"/>
      <c r="I387" s="11"/>
      <c r="J387" s="11"/>
      <c r="K387" s="11"/>
    </row>
    <row r="388" spans="2:11" s="12" customFormat="1">
      <c r="B388" s="10"/>
      <c r="C388" s="11"/>
      <c r="E388" s="10"/>
      <c r="F388" s="11"/>
      <c r="G388" s="11"/>
      <c r="H388" s="11"/>
      <c r="I388" s="11"/>
      <c r="J388" s="11"/>
      <c r="K388" s="11"/>
    </row>
    <row r="389" spans="2:11" s="12" customFormat="1">
      <c r="B389" s="10"/>
      <c r="C389" s="11"/>
      <c r="E389" s="10"/>
      <c r="F389" s="11"/>
      <c r="G389" s="11"/>
      <c r="H389" s="11"/>
      <c r="I389" s="11"/>
      <c r="J389" s="11"/>
      <c r="K389" s="11"/>
    </row>
    <row r="390" spans="2:11" s="12" customFormat="1">
      <c r="B390" s="10"/>
      <c r="C390" s="11"/>
      <c r="E390" s="10"/>
      <c r="F390" s="11"/>
      <c r="G390" s="11"/>
      <c r="H390" s="11"/>
      <c r="I390" s="11"/>
      <c r="J390" s="11"/>
      <c r="K390" s="11"/>
    </row>
    <row r="391" spans="2:11" s="12" customFormat="1">
      <c r="B391" s="10"/>
      <c r="C391" s="11"/>
      <c r="E391" s="10"/>
      <c r="F391" s="11"/>
      <c r="G391" s="11"/>
      <c r="H391" s="11"/>
      <c r="I391" s="11"/>
      <c r="J391" s="11"/>
      <c r="K391" s="11"/>
    </row>
    <row r="392" spans="2:11" s="12" customFormat="1">
      <c r="B392" s="10"/>
      <c r="C392" s="11"/>
      <c r="E392" s="10"/>
      <c r="F392" s="11"/>
      <c r="G392" s="11"/>
      <c r="H392" s="11"/>
      <c r="I392" s="11"/>
      <c r="J392" s="11"/>
      <c r="K392" s="11"/>
    </row>
    <row r="393" spans="2:11" s="12" customFormat="1">
      <c r="B393" s="10"/>
      <c r="C393" s="11"/>
      <c r="E393" s="10"/>
      <c r="F393" s="11"/>
      <c r="G393" s="11"/>
      <c r="H393" s="11"/>
      <c r="I393" s="11"/>
      <c r="J393" s="11"/>
      <c r="K393" s="11"/>
    </row>
    <row r="394" spans="2:11" s="12" customFormat="1">
      <c r="B394" s="10"/>
      <c r="C394" s="11"/>
      <c r="E394" s="10"/>
      <c r="F394" s="11"/>
      <c r="G394" s="11"/>
      <c r="H394" s="11"/>
      <c r="I394" s="11"/>
      <c r="J394" s="11"/>
      <c r="K394" s="11"/>
    </row>
    <row r="395" spans="2:11" s="12" customFormat="1">
      <c r="B395" s="10"/>
      <c r="C395" s="11"/>
      <c r="E395" s="10"/>
      <c r="F395" s="11"/>
      <c r="G395" s="11"/>
      <c r="H395" s="11"/>
      <c r="I395" s="11"/>
      <c r="J395" s="11"/>
      <c r="K395" s="11"/>
    </row>
    <row r="396" spans="2:11" s="12" customFormat="1">
      <c r="B396" s="10"/>
      <c r="C396" s="11"/>
      <c r="E396" s="10"/>
      <c r="F396" s="11"/>
      <c r="G396" s="11"/>
      <c r="H396" s="11"/>
      <c r="I396" s="11"/>
      <c r="J396" s="11"/>
      <c r="K396" s="11"/>
    </row>
    <row r="397" spans="2:11" s="12" customFormat="1">
      <c r="B397" s="10"/>
      <c r="C397" s="11"/>
      <c r="E397" s="10"/>
      <c r="F397" s="11"/>
      <c r="G397" s="11"/>
      <c r="H397" s="11"/>
      <c r="I397" s="11"/>
      <c r="J397" s="11"/>
      <c r="K397" s="11"/>
    </row>
    <row r="398" spans="2:11" s="12" customFormat="1">
      <c r="B398" s="10"/>
      <c r="C398" s="11"/>
      <c r="E398" s="10"/>
      <c r="F398" s="11"/>
      <c r="G398" s="11"/>
      <c r="H398" s="11"/>
      <c r="I398" s="11"/>
      <c r="J398" s="11"/>
      <c r="K398" s="11"/>
    </row>
    <row r="399" spans="2:11" s="12" customFormat="1">
      <c r="B399" s="10"/>
      <c r="C399" s="11"/>
      <c r="E399" s="10"/>
      <c r="F399" s="11"/>
      <c r="G399" s="11"/>
      <c r="H399" s="11"/>
      <c r="I399" s="11"/>
      <c r="J399" s="11"/>
      <c r="K399" s="11"/>
    </row>
    <row r="400" spans="2:11" s="12" customFormat="1">
      <c r="B400" s="10"/>
      <c r="C400" s="11"/>
      <c r="E400" s="10"/>
      <c r="F400" s="11"/>
      <c r="G400" s="11"/>
      <c r="H400" s="11"/>
      <c r="I400" s="11"/>
      <c r="J400" s="11"/>
      <c r="K400" s="11"/>
    </row>
    <row r="401" spans="2:11" s="12" customFormat="1">
      <c r="B401" s="10"/>
      <c r="C401" s="11"/>
      <c r="E401" s="10"/>
      <c r="F401" s="11"/>
      <c r="G401" s="11"/>
      <c r="H401" s="11"/>
      <c r="I401" s="11"/>
      <c r="J401" s="11"/>
      <c r="K401" s="11"/>
    </row>
    <row r="402" spans="2:11" s="12" customFormat="1">
      <c r="B402" s="10"/>
      <c r="C402" s="11"/>
      <c r="E402" s="10"/>
      <c r="F402" s="11"/>
      <c r="G402" s="11"/>
      <c r="H402" s="11"/>
      <c r="I402" s="11"/>
      <c r="J402" s="11"/>
      <c r="K402" s="11"/>
    </row>
    <row r="403" spans="2:11" s="12" customFormat="1">
      <c r="B403" s="10"/>
      <c r="C403" s="11"/>
      <c r="E403" s="10"/>
      <c r="F403" s="11"/>
      <c r="G403" s="11"/>
      <c r="H403" s="11"/>
      <c r="I403" s="11"/>
      <c r="J403" s="11"/>
      <c r="K403" s="11"/>
    </row>
    <row r="404" spans="2:11" s="12" customFormat="1">
      <c r="B404" s="10"/>
      <c r="C404" s="11"/>
      <c r="E404" s="10"/>
      <c r="F404" s="11"/>
      <c r="G404" s="11"/>
      <c r="H404" s="11"/>
      <c r="I404" s="11"/>
      <c r="J404" s="11"/>
      <c r="K404" s="11"/>
    </row>
    <row r="405" spans="2:11" s="12" customFormat="1">
      <c r="B405" s="10"/>
      <c r="C405" s="11"/>
      <c r="E405" s="10"/>
      <c r="F405" s="11"/>
      <c r="G405" s="11"/>
      <c r="H405" s="11"/>
      <c r="I405" s="11"/>
      <c r="J405" s="11"/>
      <c r="K405" s="11"/>
    </row>
    <row r="406" spans="2:11" s="12" customFormat="1">
      <c r="B406" s="10"/>
      <c r="C406" s="11"/>
      <c r="E406" s="10"/>
      <c r="F406" s="11"/>
      <c r="G406" s="11"/>
      <c r="H406" s="11"/>
      <c r="I406" s="11"/>
      <c r="J406" s="11"/>
      <c r="K406" s="11"/>
    </row>
    <row r="407" spans="2:11" s="12" customFormat="1">
      <c r="B407" s="10"/>
      <c r="C407" s="11"/>
      <c r="E407" s="10"/>
      <c r="F407" s="11"/>
      <c r="G407" s="11"/>
      <c r="H407" s="11"/>
      <c r="I407" s="11"/>
      <c r="J407" s="11"/>
      <c r="K407" s="11"/>
    </row>
    <row r="408" spans="2:11" s="12" customFormat="1">
      <c r="B408" s="10"/>
      <c r="C408" s="11"/>
      <c r="E408" s="10"/>
      <c r="F408" s="11"/>
      <c r="G408" s="11"/>
      <c r="H408" s="11"/>
      <c r="I408" s="11"/>
      <c r="J408" s="11"/>
      <c r="K408" s="11"/>
    </row>
    <row r="409" spans="2:11" s="12" customFormat="1">
      <c r="B409" s="10"/>
      <c r="C409" s="11"/>
      <c r="E409" s="10"/>
      <c r="F409" s="11"/>
      <c r="G409" s="11"/>
      <c r="H409" s="11"/>
      <c r="I409" s="11"/>
      <c r="J409" s="11"/>
      <c r="K409" s="11"/>
    </row>
    <row r="410" spans="2:11" s="12" customFormat="1">
      <c r="B410" s="10"/>
      <c r="C410" s="11"/>
      <c r="E410" s="10"/>
      <c r="F410" s="11"/>
      <c r="G410" s="11"/>
      <c r="H410" s="11"/>
      <c r="I410" s="11"/>
      <c r="J410" s="11"/>
      <c r="K410" s="11"/>
    </row>
    <row r="411" spans="2:11" s="12" customFormat="1">
      <c r="B411" s="10"/>
      <c r="C411" s="11"/>
      <c r="E411" s="10"/>
      <c r="F411" s="11"/>
      <c r="G411" s="11"/>
      <c r="H411" s="11"/>
      <c r="I411" s="11"/>
      <c r="J411" s="11"/>
      <c r="K411" s="11"/>
    </row>
    <row r="412" spans="2:11" s="12" customFormat="1">
      <c r="B412" s="10"/>
      <c r="C412" s="11"/>
      <c r="E412" s="10"/>
      <c r="F412" s="11"/>
      <c r="G412" s="11"/>
      <c r="H412" s="11"/>
      <c r="I412" s="11"/>
      <c r="J412" s="11"/>
      <c r="K412" s="11"/>
    </row>
    <row r="413" spans="2:11" s="12" customFormat="1">
      <c r="B413" s="10"/>
      <c r="C413" s="11"/>
      <c r="E413" s="10"/>
      <c r="F413" s="11"/>
      <c r="G413" s="11"/>
      <c r="H413" s="11"/>
      <c r="I413" s="11"/>
      <c r="J413" s="11"/>
      <c r="K413" s="11"/>
    </row>
    <row r="414" spans="2:11" s="12" customFormat="1">
      <c r="B414" s="10"/>
      <c r="C414" s="11"/>
      <c r="E414" s="10"/>
      <c r="F414" s="11"/>
      <c r="G414" s="11"/>
      <c r="H414" s="11"/>
      <c r="I414" s="11"/>
      <c r="J414" s="11"/>
      <c r="K414" s="11"/>
    </row>
    <row r="415" spans="2:11" s="12" customFormat="1">
      <c r="B415" s="10"/>
      <c r="C415" s="11"/>
      <c r="E415" s="10"/>
      <c r="F415" s="11"/>
      <c r="G415" s="11"/>
      <c r="H415" s="11"/>
      <c r="I415" s="11"/>
      <c r="J415" s="11"/>
      <c r="K415" s="11"/>
    </row>
    <row r="416" spans="2:11" s="12" customFormat="1">
      <c r="B416" s="10"/>
      <c r="C416" s="11"/>
      <c r="E416" s="10"/>
      <c r="F416" s="11"/>
      <c r="G416" s="11"/>
      <c r="H416" s="11"/>
      <c r="I416" s="11"/>
      <c r="J416" s="11"/>
      <c r="K416" s="11"/>
    </row>
    <row r="417" spans="2:11" s="12" customFormat="1">
      <c r="B417" s="10"/>
      <c r="C417" s="11"/>
      <c r="E417" s="10"/>
      <c r="F417" s="11"/>
      <c r="G417" s="11"/>
      <c r="H417" s="11"/>
      <c r="I417" s="11"/>
      <c r="J417" s="11"/>
      <c r="K417" s="11"/>
    </row>
    <row r="418" spans="2:11" s="12" customFormat="1">
      <c r="B418" s="10"/>
      <c r="C418" s="11"/>
      <c r="E418" s="10"/>
      <c r="F418" s="11"/>
      <c r="G418" s="11"/>
      <c r="H418" s="11"/>
      <c r="I418" s="11"/>
      <c r="J418" s="11"/>
      <c r="K418" s="11"/>
    </row>
    <row r="419" spans="2:11" s="12" customFormat="1">
      <c r="B419" s="10"/>
      <c r="C419" s="11"/>
      <c r="E419" s="10"/>
      <c r="F419" s="11"/>
      <c r="G419" s="11"/>
      <c r="H419" s="11"/>
      <c r="I419" s="11"/>
      <c r="J419" s="11"/>
      <c r="K419" s="11"/>
    </row>
    <row r="420" spans="2:11" s="12" customFormat="1">
      <c r="B420" s="10"/>
      <c r="C420" s="11"/>
      <c r="E420" s="10"/>
      <c r="F420" s="11"/>
      <c r="G420" s="11"/>
      <c r="H420" s="11"/>
      <c r="I420" s="11"/>
      <c r="J420" s="11"/>
      <c r="K420" s="11"/>
    </row>
    <row r="421" spans="2:11" s="12" customFormat="1">
      <c r="B421" s="10"/>
      <c r="C421" s="11"/>
      <c r="E421" s="10"/>
      <c r="F421" s="11"/>
      <c r="G421" s="11"/>
      <c r="H421" s="11"/>
      <c r="I421" s="11"/>
      <c r="J421" s="11"/>
      <c r="K421" s="11"/>
    </row>
    <row r="422" spans="2:11" s="12" customFormat="1">
      <c r="B422" s="10"/>
      <c r="C422" s="11"/>
      <c r="E422" s="10"/>
      <c r="F422" s="11"/>
      <c r="G422" s="11"/>
      <c r="H422" s="11"/>
      <c r="I422" s="11"/>
      <c r="J422" s="11"/>
      <c r="K422" s="11"/>
    </row>
    <row r="423" spans="2:11" s="12" customFormat="1">
      <c r="B423" s="10"/>
      <c r="C423" s="11"/>
      <c r="E423" s="10"/>
      <c r="F423" s="11"/>
      <c r="G423" s="11"/>
      <c r="H423" s="11"/>
      <c r="I423" s="11"/>
      <c r="J423" s="11"/>
      <c r="K423" s="11"/>
    </row>
    <row r="424" spans="2:11" s="12" customFormat="1">
      <c r="B424" s="10"/>
      <c r="C424" s="11"/>
      <c r="E424" s="10"/>
      <c r="F424" s="11"/>
      <c r="G424" s="11"/>
      <c r="H424" s="11"/>
      <c r="I424" s="11"/>
      <c r="J424" s="11"/>
      <c r="K424" s="11"/>
    </row>
    <row r="425" spans="2:11" s="12" customFormat="1">
      <c r="B425" s="10"/>
      <c r="C425" s="11"/>
      <c r="E425" s="10"/>
      <c r="F425" s="11"/>
      <c r="G425" s="11"/>
      <c r="H425" s="11"/>
      <c r="I425" s="11"/>
      <c r="J425" s="11"/>
      <c r="K425" s="11"/>
    </row>
    <row r="426" spans="2:11" s="12" customFormat="1">
      <c r="B426" s="10"/>
      <c r="C426" s="11"/>
      <c r="E426" s="10"/>
      <c r="F426" s="11"/>
      <c r="G426" s="11"/>
      <c r="H426" s="11"/>
      <c r="I426" s="11"/>
      <c r="J426" s="11"/>
      <c r="K426" s="11"/>
    </row>
    <row r="427" spans="2:11" s="12" customFormat="1">
      <c r="B427" s="10"/>
      <c r="C427" s="11"/>
      <c r="E427" s="10"/>
      <c r="F427" s="11"/>
      <c r="G427" s="11"/>
      <c r="H427" s="11"/>
      <c r="I427" s="11"/>
      <c r="J427" s="11"/>
      <c r="K427" s="11"/>
    </row>
    <row r="428" spans="2:11" s="12" customFormat="1">
      <c r="B428" s="10"/>
      <c r="C428" s="11"/>
      <c r="E428" s="10"/>
      <c r="F428" s="11"/>
      <c r="G428" s="11"/>
      <c r="H428" s="11"/>
      <c r="I428" s="11"/>
      <c r="J428" s="11"/>
      <c r="K428" s="11"/>
    </row>
    <row r="429" spans="2:11" s="12" customFormat="1">
      <c r="B429" s="10"/>
      <c r="C429" s="11"/>
      <c r="E429" s="10"/>
      <c r="F429" s="11"/>
      <c r="G429" s="11"/>
      <c r="H429" s="11"/>
      <c r="I429" s="11"/>
      <c r="J429" s="11"/>
      <c r="K429" s="11"/>
    </row>
    <row r="430" spans="2:11" s="12" customFormat="1">
      <c r="B430" s="10"/>
      <c r="C430" s="11"/>
      <c r="E430" s="10"/>
      <c r="F430" s="11"/>
      <c r="G430" s="11"/>
      <c r="H430" s="11"/>
      <c r="I430" s="11"/>
      <c r="J430" s="11"/>
      <c r="K430" s="11"/>
    </row>
    <row r="431" spans="2:11" s="12" customFormat="1">
      <c r="B431" s="10"/>
      <c r="C431" s="11"/>
      <c r="E431" s="10"/>
      <c r="F431" s="11"/>
      <c r="G431" s="11"/>
      <c r="H431" s="11"/>
      <c r="I431" s="11"/>
      <c r="J431" s="11"/>
      <c r="K431" s="11"/>
    </row>
    <row r="432" spans="2:11" s="12" customFormat="1">
      <c r="B432" s="10"/>
      <c r="C432" s="11"/>
      <c r="E432" s="10"/>
      <c r="F432" s="11"/>
      <c r="G432" s="11"/>
      <c r="H432" s="11"/>
      <c r="I432" s="11"/>
      <c r="J432" s="11"/>
      <c r="K432" s="11"/>
    </row>
    <row r="433" spans="2:11" s="12" customFormat="1">
      <c r="B433" s="10"/>
      <c r="C433" s="11"/>
      <c r="E433" s="10"/>
      <c r="F433" s="11"/>
      <c r="G433" s="11"/>
      <c r="H433" s="11"/>
      <c r="I433" s="11"/>
      <c r="J433" s="11"/>
      <c r="K433" s="11"/>
    </row>
    <row r="434" spans="2:11" s="12" customFormat="1">
      <c r="B434" s="10"/>
      <c r="C434" s="11"/>
      <c r="E434" s="10"/>
      <c r="F434" s="11"/>
      <c r="G434" s="11"/>
      <c r="H434" s="11"/>
      <c r="I434" s="11"/>
      <c r="J434" s="11"/>
      <c r="K434" s="11"/>
    </row>
    <row r="435" spans="2:11" s="12" customFormat="1">
      <c r="B435" s="10"/>
      <c r="C435" s="11"/>
      <c r="E435" s="10"/>
      <c r="F435" s="11"/>
      <c r="G435" s="11"/>
      <c r="H435" s="11"/>
      <c r="I435" s="11"/>
      <c r="J435" s="11"/>
      <c r="K435" s="11"/>
    </row>
    <row r="436" spans="2:11" s="12" customFormat="1">
      <c r="B436" s="10"/>
      <c r="C436" s="11"/>
      <c r="E436" s="10"/>
      <c r="F436" s="11"/>
      <c r="G436" s="11"/>
      <c r="H436" s="11"/>
      <c r="I436" s="11"/>
      <c r="J436" s="11"/>
      <c r="K436" s="11"/>
    </row>
    <row r="437" spans="2:11" s="12" customFormat="1">
      <c r="B437" s="10"/>
      <c r="C437" s="11"/>
      <c r="E437" s="10"/>
      <c r="F437" s="11"/>
      <c r="G437" s="11"/>
      <c r="H437" s="11"/>
      <c r="I437" s="11"/>
      <c r="J437" s="11"/>
      <c r="K437" s="11"/>
    </row>
    <row r="438" spans="2:11" s="12" customFormat="1">
      <c r="B438" s="10"/>
      <c r="C438" s="11"/>
      <c r="E438" s="10"/>
      <c r="F438" s="11"/>
      <c r="G438" s="11"/>
      <c r="H438" s="11"/>
      <c r="I438" s="11"/>
      <c r="J438" s="11"/>
      <c r="K438" s="11"/>
    </row>
    <row r="439" spans="2:11" s="12" customFormat="1">
      <c r="B439" s="10"/>
      <c r="C439" s="11"/>
      <c r="E439" s="10"/>
      <c r="F439" s="11"/>
      <c r="G439" s="11"/>
      <c r="H439" s="11"/>
      <c r="I439" s="11"/>
      <c r="J439" s="11"/>
      <c r="K439" s="11"/>
    </row>
    <row r="440" spans="2:11" s="12" customFormat="1">
      <c r="B440" s="10"/>
      <c r="C440" s="11"/>
      <c r="E440" s="10"/>
      <c r="F440" s="11"/>
      <c r="G440" s="11"/>
      <c r="H440" s="11"/>
      <c r="I440" s="11"/>
      <c r="J440" s="11"/>
      <c r="K440" s="11"/>
    </row>
    <row r="441" spans="2:11" s="12" customFormat="1">
      <c r="B441" s="10"/>
      <c r="C441" s="11"/>
      <c r="E441" s="10"/>
      <c r="F441" s="11"/>
      <c r="G441" s="11"/>
      <c r="H441" s="11"/>
      <c r="I441" s="11"/>
      <c r="J441" s="11"/>
      <c r="K441" s="11"/>
    </row>
    <row r="442" spans="2:11" s="12" customFormat="1">
      <c r="B442" s="10"/>
      <c r="C442" s="11"/>
      <c r="E442" s="10"/>
      <c r="F442" s="11"/>
      <c r="G442" s="11"/>
      <c r="H442" s="11"/>
      <c r="I442" s="11"/>
      <c r="J442" s="11"/>
      <c r="K442" s="11"/>
    </row>
    <row r="443" spans="2:11" s="12" customFormat="1">
      <c r="B443" s="10"/>
      <c r="C443" s="11"/>
      <c r="E443" s="10"/>
      <c r="F443" s="11"/>
      <c r="G443" s="11"/>
      <c r="H443" s="11"/>
      <c r="I443" s="11"/>
      <c r="J443" s="11"/>
      <c r="K443" s="11"/>
    </row>
    <row r="444" spans="2:11" s="12" customFormat="1">
      <c r="B444" s="10"/>
      <c r="C444" s="11"/>
      <c r="E444" s="10"/>
      <c r="F444" s="11"/>
      <c r="G444" s="11"/>
      <c r="H444" s="11"/>
      <c r="I444" s="11"/>
      <c r="J444" s="11"/>
      <c r="K444" s="11"/>
    </row>
    <row r="445" spans="2:11" s="12" customFormat="1">
      <c r="B445" s="10"/>
      <c r="C445" s="11"/>
      <c r="E445" s="10"/>
      <c r="F445" s="11"/>
      <c r="G445" s="11"/>
      <c r="H445" s="11"/>
      <c r="I445" s="11"/>
      <c r="J445" s="11"/>
      <c r="K445" s="11"/>
    </row>
    <row r="446" spans="2:11" s="12" customFormat="1">
      <c r="B446" s="10"/>
      <c r="C446" s="11"/>
      <c r="E446" s="10"/>
      <c r="F446" s="11"/>
      <c r="G446" s="11"/>
      <c r="H446" s="11"/>
      <c r="I446" s="11"/>
      <c r="J446" s="11"/>
      <c r="K446" s="11"/>
    </row>
    <row r="447" spans="2:11" s="12" customFormat="1">
      <c r="B447" s="10"/>
      <c r="C447" s="11"/>
      <c r="E447" s="10"/>
      <c r="F447" s="11"/>
      <c r="G447" s="11"/>
      <c r="H447" s="11"/>
      <c r="I447" s="11"/>
      <c r="J447" s="11"/>
      <c r="K447" s="11"/>
    </row>
    <row r="448" spans="2:11" s="12" customFormat="1">
      <c r="B448" s="10"/>
      <c r="C448" s="11"/>
      <c r="E448" s="10"/>
      <c r="F448" s="11"/>
      <c r="G448" s="11"/>
      <c r="H448" s="11"/>
      <c r="I448" s="11"/>
      <c r="J448" s="11"/>
      <c r="K448" s="11"/>
    </row>
    <row r="449" spans="2:11" s="12" customFormat="1">
      <c r="B449" s="10"/>
      <c r="C449" s="11"/>
      <c r="E449" s="10"/>
      <c r="F449" s="11"/>
      <c r="G449" s="11"/>
      <c r="H449" s="11"/>
      <c r="I449" s="11"/>
      <c r="J449" s="11"/>
      <c r="K449" s="11"/>
    </row>
    <row r="450" spans="2:11" s="12" customFormat="1">
      <c r="B450" s="10"/>
      <c r="C450" s="11"/>
      <c r="E450" s="10"/>
      <c r="F450" s="11"/>
      <c r="G450" s="11"/>
      <c r="H450" s="11"/>
      <c r="I450" s="11"/>
      <c r="J450" s="11"/>
      <c r="K450" s="11"/>
    </row>
    <row r="451" spans="2:11" s="12" customFormat="1">
      <c r="B451" s="10"/>
      <c r="C451" s="11"/>
      <c r="E451" s="10"/>
      <c r="F451" s="11"/>
      <c r="G451" s="11"/>
      <c r="H451" s="11"/>
      <c r="I451" s="11"/>
      <c r="J451" s="11"/>
      <c r="K451" s="11"/>
    </row>
    <row r="452" spans="2:11" s="12" customFormat="1">
      <c r="B452" s="10"/>
      <c r="C452" s="11"/>
      <c r="E452" s="10"/>
      <c r="F452" s="11"/>
      <c r="G452" s="11"/>
      <c r="H452" s="11"/>
      <c r="I452" s="11"/>
      <c r="J452" s="11"/>
      <c r="K452" s="11"/>
    </row>
    <row r="453" spans="2:11" s="12" customFormat="1">
      <c r="B453" s="10"/>
      <c r="C453" s="11"/>
      <c r="E453" s="10"/>
      <c r="F453" s="11"/>
      <c r="G453" s="11"/>
      <c r="H453" s="11"/>
      <c r="I453" s="11"/>
      <c r="J453" s="11"/>
      <c r="K453" s="11"/>
    </row>
    <row r="454" spans="2:11" s="12" customFormat="1">
      <c r="B454" s="10"/>
      <c r="C454" s="11"/>
      <c r="E454" s="10"/>
      <c r="F454" s="11"/>
      <c r="G454" s="11"/>
      <c r="H454" s="11"/>
      <c r="I454" s="11"/>
      <c r="J454" s="11"/>
      <c r="K454" s="11"/>
    </row>
    <row r="455" spans="2:11" s="12" customFormat="1">
      <c r="B455" s="10"/>
      <c r="C455" s="11"/>
      <c r="E455" s="10"/>
      <c r="F455" s="11"/>
      <c r="G455" s="11"/>
      <c r="H455" s="11"/>
      <c r="I455" s="11"/>
      <c r="J455" s="11"/>
      <c r="K455" s="11"/>
    </row>
    <row r="456" spans="2:11" s="12" customFormat="1">
      <c r="B456" s="10"/>
      <c r="C456" s="11"/>
      <c r="E456" s="10"/>
      <c r="F456" s="11"/>
      <c r="G456" s="11"/>
      <c r="H456" s="11"/>
      <c r="I456" s="11"/>
      <c r="J456" s="11"/>
      <c r="K456" s="11"/>
    </row>
    <row r="457" spans="2:11" s="12" customFormat="1">
      <c r="B457" s="10"/>
      <c r="C457" s="11"/>
      <c r="E457" s="10"/>
      <c r="F457" s="11"/>
      <c r="G457" s="11"/>
      <c r="H457" s="11"/>
      <c r="I457" s="11"/>
      <c r="J457" s="11"/>
      <c r="K457" s="11"/>
    </row>
    <row r="458" spans="2:11" s="12" customFormat="1">
      <c r="B458" s="10"/>
      <c r="C458" s="11"/>
      <c r="E458" s="10"/>
      <c r="F458" s="11"/>
      <c r="G458" s="11"/>
      <c r="H458" s="11"/>
      <c r="I458" s="11"/>
      <c r="J458" s="11"/>
      <c r="K458" s="11"/>
    </row>
    <row r="459" spans="2:11" s="12" customFormat="1">
      <c r="B459" s="10"/>
      <c r="C459" s="11"/>
      <c r="E459" s="10"/>
      <c r="F459" s="11"/>
      <c r="G459" s="11"/>
      <c r="H459" s="11"/>
      <c r="I459" s="11"/>
      <c r="J459" s="11"/>
      <c r="K459" s="11"/>
    </row>
    <row r="460" spans="2:11" s="12" customFormat="1">
      <c r="B460" s="10"/>
      <c r="C460" s="11"/>
      <c r="E460" s="10"/>
      <c r="F460" s="11"/>
      <c r="G460" s="11"/>
      <c r="H460" s="11"/>
      <c r="I460" s="11"/>
      <c r="J460" s="11"/>
      <c r="K460" s="11"/>
    </row>
    <row r="461" spans="2:11" s="12" customFormat="1">
      <c r="B461" s="10"/>
      <c r="C461" s="11"/>
      <c r="E461" s="10"/>
      <c r="F461" s="11"/>
      <c r="G461" s="11"/>
      <c r="H461" s="11"/>
      <c r="I461" s="11"/>
      <c r="J461" s="11"/>
      <c r="K461" s="11"/>
    </row>
    <row r="462" spans="2:11" s="12" customFormat="1">
      <c r="B462" s="10"/>
      <c r="C462" s="11"/>
      <c r="E462" s="10"/>
      <c r="F462" s="11"/>
      <c r="G462" s="11"/>
      <c r="H462" s="11"/>
      <c r="I462" s="11"/>
      <c r="J462" s="11"/>
      <c r="K462" s="11"/>
    </row>
    <row r="463" spans="2:11" s="12" customFormat="1">
      <c r="B463" s="10"/>
      <c r="C463" s="11"/>
      <c r="E463" s="10"/>
      <c r="F463" s="11"/>
      <c r="G463" s="11"/>
      <c r="H463" s="11"/>
      <c r="I463" s="11"/>
      <c r="J463" s="11"/>
      <c r="K463" s="11"/>
    </row>
    <row r="464" spans="2:11" s="12" customFormat="1">
      <c r="B464" s="10"/>
      <c r="C464" s="11"/>
      <c r="E464" s="10"/>
      <c r="F464" s="11"/>
      <c r="G464" s="11"/>
      <c r="H464" s="11"/>
      <c r="I464" s="11"/>
      <c r="J464" s="11"/>
      <c r="K464" s="11"/>
    </row>
    <row r="465" spans="2:11" s="12" customFormat="1">
      <c r="B465" s="10"/>
      <c r="C465" s="11"/>
      <c r="E465" s="10"/>
      <c r="F465" s="11"/>
      <c r="G465" s="11"/>
      <c r="H465" s="11"/>
      <c r="I465" s="11"/>
      <c r="J465" s="11"/>
      <c r="K465" s="11"/>
    </row>
    <row r="466" spans="2:11" s="12" customFormat="1">
      <c r="B466" s="10"/>
      <c r="C466" s="11"/>
      <c r="E466" s="10"/>
      <c r="F466" s="11"/>
      <c r="G466" s="11"/>
      <c r="H466" s="11"/>
      <c r="I466" s="11"/>
      <c r="J466" s="11"/>
      <c r="K466" s="11"/>
    </row>
    <row r="467" spans="2:11" s="12" customFormat="1">
      <c r="B467" s="10"/>
      <c r="C467" s="11"/>
      <c r="E467" s="10"/>
      <c r="F467" s="11"/>
      <c r="G467" s="11"/>
      <c r="H467" s="11"/>
      <c r="I467" s="11"/>
      <c r="J467" s="11"/>
      <c r="K467" s="11"/>
    </row>
    <row r="468" spans="2:11" s="12" customFormat="1">
      <c r="B468" s="10"/>
      <c r="C468" s="11"/>
      <c r="E468" s="10"/>
      <c r="F468" s="11"/>
      <c r="G468" s="11"/>
      <c r="H468" s="11"/>
      <c r="I468" s="11"/>
      <c r="J468" s="11"/>
      <c r="K468" s="11"/>
    </row>
    <row r="469" spans="2:11" s="12" customFormat="1">
      <c r="B469" s="10"/>
      <c r="C469" s="11"/>
      <c r="E469" s="10"/>
      <c r="F469" s="11"/>
      <c r="G469" s="11"/>
      <c r="H469" s="11"/>
      <c r="I469" s="11"/>
      <c r="J469" s="11"/>
      <c r="K469" s="11"/>
    </row>
    <row r="470" spans="2:11" s="12" customFormat="1">
      <c r="B470" s="10"/>
      <c r="C470" s="11"/>
      <c r="E470" s="10"/>
      <c r="F470" s="11"/>
      <c r="G470" s="11"/>
      <c r="H470" s="11"/>
      <c r="I470" s="11"/>
      <c r="J470" s="11"/>
      <c r="K470" s="11"/>
    </row>
    <row r="471" spans="2:11" s="12" customFormat="1">
      <c r="B471" s="10"/>
      <c r="C471" s="11"/>
      <c r="E471" s="10"/>
      <c r="F471" s="11"/>
      <c r="G471" s="11"/>
      <c r="H471" s="11"/>
      <c r="I471" s="11"/>
      <c r="J471" s="11"/>
      <c r="K471" s="11"/>
    </row>
    <row r="472" spans="2:11" s="12" customFormat="1">
      <c r="B472" s="10"/>
      <c r="C472" s="11"/>
      <c r="E472" s="10"/>
      <c r="F472" s="11"/>
      <c r="G472" s="11"/>
      <c r="H472" s="11"/>
      <c r="I472" s="11"/>
      <c r="J472" s="11"/>
      <c r="K472" s="11"/>
    </row>
    <row r="473" spans="2:11" s="12" customFormat="1">
      <c r="B473" s="10"/>
      <c r="C473" s="11"/>
      <c r="E473" s="10"/>
      <c r="F473" s="11"/>
      <c r="G473" s="11"/>
      <c r="H473" s="11"/>
      <c r="I473" s="11"/>
      <c r="J473" s="11"/>
      <c r="K473" s="11"/>
    </row>
    <row r="474" spans="2:11" s="12" customFormat="1">
      <c r="B474" s="10"/>
      <c r="C474" s="11"/>
      <c r="E474" s="10"/>
      <c r="F474" s="11"/>
      <c r="G474" s="11"/>
      <c r="H474" s="11"/>
      <c r="I474" s="11"/>
      <c r="J474" s="11"/>
      <c r="K474" s="11"/>
    </row>
    <row r="475" spans="2:11" s="12" customFormat="1">
      <c r="B475" s="10"/>
      <c r="C475" s="11"/>
      <c r="E475" s="10"/>
      <c r="F475" s="11"/>
      <c r="G475" s="11"/>
      <c r="H475" s="11"/>
      <c r="I475" s="11"/>
      <c r="J475" s="11"/>
      <c r="K475" s="11"/>
    </row>
    <row r="476" spans="2:11" s="12" customFormat="1">
      <c r="B476" s="10"/>
      <c r="C476" s="11"/>
      <c r="E476" s="10"/>
      <c r="F476" s="11"/>
      <c r="G476" s="11"/>
      <c r="H476" s="11"/>
      <c r="I476" s="11"/>
      <c r="J476" s="11"/>
      <c r="K476" s="11"/>
    </row>
    <row r="477" spans="2:11" s="12" customFormat="1">
      <c r="B477" s="10"/>
      <c r="C477" s="11"/>
      <c r="E477" s="10"/>
      <c r="F477" s="11"/>
      <c r="G477" s="11"/>
      <c r="H477" s="11"/>
      <c r="I477" s="11"/>
      <c r="J477" s="11"/>
      <c r="K477" s="11"/>
    </row>
    <row r="478" spans="2:11" s="12" customFormat="1">
      <c r="B478" s="10"/>
      <c r="C478" s="11"/>
      <c r="E478" s="10"/>
      <c r="F478" s="11"/>
      <c r="G478" s="11"/>
      <c r="H478" s="11"/>
      <c r="I478" s="11"/>
      <c r="J478" s="11"/>
      <c r="K478" s="11"/>
    </row>
    <row r="479" spans="2:11" s="12" customFormat="1">
      <c r="B479" s="10"/>
      <c r="C479" s="11"/>
      <c r="E479" s="10"/>
      <c r="F479" s="11"/>
      <c r="G479" s="11"/>
      <c r="H479" s="11"/>
      <c r="I479" s="11"/>
      <c r="J479" s="11"/>
      <c r="K479" s="11"/>
    </row>
    <row r="480" spans="2:11" s="12" customFormat="1">
      <c r="B480" s="10"/>
      <c r="C480" s="11"/>
      <c r="E480" s="10"/>
      <c r="F480" s="11"/>
      <c r="G480" s="11"/>
      <c r="H480" s="11"/>
      <c r="I480" s="11"/>
      <c r="J480" s="11"/>
      <c r="K480" s="11"/>
    </row>
    <row r="481" spans="2:11" s="12" customFormat="1">
      <c r="B481" s="10"/>
      <c r="C481" s="11"/>
      <c r="E481" s="10"/>
      <c r="F481" s="11"/>
      <c r="G481" s="11"/>
      <c r="H481" s="11"/>
      <c r="I481" s="11"/>
      <c r="J481" s="11"/>
      <c r="K481" s="11"/>
    </row>
    <row r="482" spans="2:11" s="12" customFormat="1">
      <c r="B482" s="10"/>
      <c r="C482" s="11"/>
      <c r="E482" s="10"/>
      <c r="F482" s="11"/>
      <c r="G482" s="11"/>
      <c r="H482" s="11"/>
      <c r="I482" s="11"/>
      <c r="J482" s="11"/>
      <c r="K482" s="11"/>
    </row>
    <row r="483" spans="2:11" s="12" customFormat="1">
      <c r="B483" s="10"/>
      <c r="C483" s="11"/>
      <c r="E483" s="10"/>
      <c r="F483" s="11"/>
      <c r="G483" s="11"/>
      <c r="H483" s="11"/>
      <c r="I483" s="11"/>
      <c r="J483" s="11"/>
      <c r="K483" s="11"/>
    </row>
    <row r="484" spans="2:11" s="12" customFormat="1">
      <c r="B484" s="10"/>
      <c r="C484" s="11"/>
      <c r="E484" s="10"/>
      <c r="F484" s="11"/>
      <c r="G484" s="11"/>
      <c r="H484" s="11"/>
      <c r="I484" s="11"/>
      <c r="J484" s="11"/>
      <c r="K484" s="11"/>
    </row>
    <row r="485" spans="2:11" s="12" customFormat="1">
      <c r="B485" s="10"/>
      <c r="C485" s="11"/>
      <c r="E485" s="10"/>
      <c r="F485" s="11"/>
      <c r="G485" s="11"/>
      <c r="H485" s="11"/>
      <c r="I485" s="11"/>
      <c r="J485" s="11"/>
      <c r="K485" s="11"/>
    </row>
    <row r="486" spans="2:11" s="12" customFormat="1">
      <c r="B486" s="10"/>
      <c r="C486" s="11"/>
      <c r="E486" s="10"/>
      <c r="F486" s="11"/>
      <c r="G486" s="11"/>
      <c r="H486" s="11"/>
      <c r="I486" s="11"/>
      <c r="J486" s="11"/>
      <c r="K486" s="11"/>
    </row>
    <row r="487" spans="2:11" s="12" customFormat="1">
      <c r="B487" s="10"/>
      <c r="C487" s="11"/>
      <c r="E487" s="10"/>
      <c r="F487" s="11"/>
      <c r="G487" s="11"/>
      <c r="H487" s="11"/>
      <c r="I487" s="11"/>
      <c r="J487" s="11"/>
      <c r="K487" s="11"/>
    </row>
    <row r="488" spans="2:11" s="12" customFormat="1">
      <c r="B488" s="10"/>
      <c r="C488" s="11"/>
      <c r="E488" s="10"/>
      <c r="F488" s="11"/>
      <c r="G488" s="11"/>
      <c r="H488" s="11"/>
      <c r="I488" s="11"/>
      <c r="J488" s="11"/>
      <c r="K488" s="11"/>
    </row>
    <row r="489" spans="2:11" s="12" customFormat="1">
      <c r="B489" s="10"/>
      <c r="C489" s="11"/>
      <c r="E489" s="10"/>
      <c r="F489" s="11"/>
      <c r="G489" s="11"/>
      <c r="H489" s="11"/>
      <c r="I489" s="11"/>
      <c r="J489" s="11"/>
      <c r="K489" s="11"/>
    </row>
    <row r="490" spans="2:11" s="12" customFormat="1">
      <c r="B490" s="10"/>
      <c r="C490" s="11"/>
      <c r="E490" s="10"/>
      <c r="F490" s="11"/>
      <c r="G490" s="11"/>
      <c r="H490" s="11"/>
      <c r="I490" s="11"/>
      <c r="J490" s="11"/>
      <c r="K490" s="11"/>
    </row>
    <row r="491" spans="2:11" s="12" customFormat="1">
      <c r="B491" s="10"/>
      <c r="C491" s="11"/>
      <c r="E491" s="10"/>
      <c r="F491" s="11"/>
      <c r="G491" s="11"/>
      <c r="H491" s="11"/>
      <c r="I491" s="11"/>
      <c r="J491" s="11"/>
      <c r="K491" s="11"/>
    </row>
    <row r="492" spans="2:11" s="12" customFormat="1">
      <c r="B492" s="10"/>
      <c r="C492" s="11"/>
      <c r="E492" s="10"/>
      <c r="F492" s="11"/>
      <c r="G492" s="11"/>
      <c r="H492" s="11"/>
      <c r="I492" s="11"/>
      <c r="J492" s="11"/>
      <c r="K492" s="11"/>
    </row>
    <row r="493" spans="2:11" s="12" customFormat="1">
      <c r="B493" s="10"/>
      <c r="C493" s="11"/>
      <c r="E493" s="10"/>
      <c r="F493" s="11"/>
      <c r="G493" s="11"/>
      <c r="H493" s="11"/>
      <c r="I493" s="11"/>
      <c r="J493" s="11"/>
      <c r="K493" s="11"/>
    </row>
    <row r="494" spans="2:11" s="12" customFormat="1">
      <c r="B494" s="10"/>
      <c r="C494" s="11"/>
      <c r="E494" s="10"/>
      <c r="F494" s="11"/>
      <c r="G494" s="11"/>
      <c r="H494" s="11"/>
      <c r="I494" s="11"/>
      <c r="J494" s="11"/>
      <c r="K494" s="11"/>
    </row>
    <row r="495" spans="2:11" s="12" customFormat="1">
      <c r="B495" s="10"/>
      <c r="C495" s="11"/>
      <c r="E495" s="10"/>
      <c r="F495" s="11"/>
      <c r="G495" s="11"/>
      <c r="H495" s="11"/>
      <c r="I495" s="11"/>
      <c r="J495" s="11"/>
      <c r="K495" s="11"/>
    </row>
    <row r="496" spans="2:11" s="12" customFormat="1">
      <c r="B496" s="10"/>
      <c r="C496" s="11"/>
      <c r="E496" s="10"/>
      <c r="F496" s="11"/>
      <c r="G496" s="11"/>
      <c r="H496" s="11"/>
      <c r="I496" s="11"/>
      <c r="J496" s="11"/>
      <c r="K496" s="11"/>
    </row>
    <row r="497" spans="2:11" s="12" customFormat="1">
      <c r="B497" s="10"/>
      <c r="C497" s="11"/>
      <c r="E497" s="10"/>
      <c r="F497" s="11"/>
      <c r="G497" s="11"/>
      <c r="H497" s="11"/>
      <c r="I497" s="11"/>
      <c r="J497" s="11"/>
      <c r="K497" s="11"/>
    </row>
    <row r="498" spans="2:11" s="12" customFormat="1">
      <c r="B498" s="10"/>
      <c r="C498" s="11"/>
      <c r="E498" s="10"/>
      <c r="F498" s="11"/>
      <c r="G498" s="11"/>
      <c r="H498" s="11"/>
      <c r="I498" s="11"/>
      <c r="J498" s="11"/>
      <c r="K498" s="11"/>
    </row>
    <row r="499" spans="2:11" s="12" customFormat="1">
      <c r="B499" s="10"/>
      <c r="C499" s="11"/>
      <c r="E499" s="10"/>
      <c r="F499" s="11"/>
      <c r="G499" s="11"/>
      <c r="H499" s="11"/>
      <c r="I499" s="11"/>
      <c r="J499" s="11"/>
      <c r="K499" s="11"/>
    </row>
    <row r="500" spans="2:11" s="12" customFormat="1">
      <c r="B500" s="10"/>
      <c r="C500" s="11"/>
      <c r="E500" s="10"/>
      <c r="F500" s="11"/>
      <c r="G500" s="11"/>
      <c r="H500" s="11"/>
      <c r="I500" s="11"/>
      <c r="J500" s="11"/>
      <c r="K500" s="11"/>
    </row>
    <row r="501" spans="2:11" s="12" customFormat="1">
      <c r="B501" s="10"/>
      <c r="C501" s="11"/>
      <c r="E501" s="10"/>
      <c r="F501" s="11"/>
      <c r="G501" s="11"/>
      <c r="H501" s="11"/>
      <c r="I501" s="11"/>
      <c r="J501" s="11"/>
      <c r="K501" s="11"/>
    </row>
    <row r="502" spans="2:11" s="12" customFormat="1">
      <c r="B502" s="10"/>
      <c r="C502" s="11"/>
      <c r="E502" s="10"/>
      <c r="F502" s="11"/>
      <c r="G502" s="11"/>
      <c r="H502" s="11"/>
      <c r="I502" s="11"/>
      <c r="J502" s="11"/>
      <c r="K502" s="11"/>
    </row>
    <row r="503" spans="2:11" s="12" customFormat="1">
      <c r="B503" s="10"/>
      <c r="C503" s="11"/>
      <c r="E503" s="10"/>
      <c r="F503" s="11"/>
      <c r="G503" s="11"/>
      <c r="H503" s="11"/>
      <c r="I503" s="11"/>
      <c r="J503" s="11"/>
      <c r="K503" s="11"/>
    </row>
    <row r="504" spans="2:11" s="12" customFormat="1">
      <c r="B504" s="10"/>
      <c r="C504" s="11"/>
      <c r="E504" s="10"/>
      <c r="F504" s="11"/>
      <c r="G504" s="11"/>
      <c r="H504" s="11"/>
      <c r="I504" s="11"/>
      <c r="J504" s="11"/>
      <c r="K504" s="11"/>
    </row>
    <row r="505" spans="2:11" s="12" customFormat="1">
      <c r="B505" s="10"/>
      <c r="C505" s="11"/>
      <c r="E505" s="10"/>
      <c r="F505" s="11"/>
      <c r="G505" s="11"/>
      <c r="H505" s="11"/>
      <c r="I505" s="11"/>
      <c r="J505" s="11"/>
      <c r="K505" s="11"/>
    </row>
    <row r="506" spans="2:11" s="12" customFormat="1">
      <c r="B506" s="10"/>
      <c r="C506" s="11"/>
      <c r="E506" s="10"/>
      <c r="F506" s="11"/>
      <c r="G506" s="11"/>
      <c r="H506" s="11"/>
      <c r="I506" s="11"/>
      <c r="J506" s="11"/>
      <c r="K506" s="11"/>
    </row>
    <row r="507" spans="2:11" s="12" customFormat="1">
      <c r="B507" s="10"/>
      <c r="C507" s="11"/>
      <c r="E507" s="10"/>
      <c r="F507" s="11"/>
      <c r="G507" s="11"/>
      <c r="H507" s="11"/>
      <c r="I507" s="11"/>
      <c r="J507" s="11"/>
      <c r="K507" s="11"/>
    </row>
    <row r="508" spans="2:11" s="12" customFormat="1">
      <c r="B508" s="10"/>
      <c r="C508" s="11"/>
      <c r="E508" s="10"/>
      <c r="F508" s="11"/>
      <c r="G508" s="11"/>
      <c r="H508" s="11"/>
      <c r="I508" s="11"/>
      <c r="J508" s="11"/>
      <c r="K508" s="11"/>
    </row>
    <row r="509" spans="2:11" s="12" customFormat="1">
      <c r="B509" s="10"/>
      <c r="C509" s="11"/>
      <c r="E509" s="10"/>
      <c r="F509" s="11"/>
      <c r="G509" s="11"/>
      <c r="H509" s="11"/>
      <c r="I509" s="11"/>
      <c r="J509" s="11"/>
      <c r="K509" s="11"/>
    </row>
    <row r="510" spans="2:11" s="12" customFormat="1">
      <c r="B510" s="10"/>
      <c r="C510" s="11"/>
      <c r="E510" s="10"/>
      <c r="F510" s="11"/>
      <c r="G510" s="11"/>
      <c r="H510" s="11"/>
      <c r="I510" s="11"/>
      <c r="J510" s="11"/>
      <c r="K510" s="11"/>
    </row>
    <row r="511" spans="2:11" s="12" customFormat="1">
      <c r="B511" s="10"/>
      <c r="C511" s="11"/>
      <c r="E511" s="10"/>
      <c r="F511" s="11"/>
      <c r="G511" s="11"/>
      <c r="H511" s="11"/>
      <c r="I511" s="11"/>
      <c r="J511" s="11"/>
      <c r="K511" s="11"/>
    </row>
    <row r="512" spans="2:11" s="12" customFormat="1">
      <c r="B512" s="10"/>
      <c r="C512" s="11"/>
      <c r="E512" s="10"/>
      <c r="F512" s="11"/>
      <c r="G512" s="11"/>
      <c r="H512" s="11"/>
      <c r="I512" s="11"/>
      <c r="J512" s="11"/>
      <c r="K512" s="11"/>
    </row>
    <row r="513" spans="2:11" s="12" customFormat="1">
      <c r="B513" s="10"/>
      <c r="C513" s="11"/>
      <c r="E513" s="10"/>
      <c r="F513" s="11"/>
      <c r="G513" s="11"/>
      <c r="H513" s="11"/>
      <c r="I513" s="11"/>
      <c r="J513" s="11"/>
      <c r="K513" s="11"/>
    </row>
    <row r="514" spans="2:11" s="12" customFormat="1">
      <c r="B514" s="10"/>
      <c r="C514" s="11"/>
      <c r="E514" s="10"/>
      <c r="F514" s="11"/>
      <c r="G514" s="11"/>
      <c r="H514" s="11"/>
      <c r="I514" s="11"/>
      <c r="J514" s="11"/>
      <c r="K514" s="11"/>
    </row>
    <row r="515" spans="2:11" s="12" customFormat="1">
      <c r="B515" s="10"/>
      <c r="C515" s="11"/>
      <c r="E515" s="10"/>
      <c r="F515" s="11"/>
      <c r="G515" s="11"/>
      <c r="H515" s="11"/>
      <c r="I515" s="11"/>
      <c r="J515" s="11"/>
      <c r="K515" s="11"/>
    </row>
    <row r="516" spans="2:11" s="12" customFormat="1">
      <c r="B516" s="10"/>
      <c r="C516" s="11"/>
      <c r="E516" s="10"/>
      <c r="F516" s="11"/>
      <c r="G516" s="11"/>
      <c r="H516" s="11"/>
      <c r="I516" s="11"/>
      <c r="J516" s="11"/>
      <c r="K516" s="11"/>
    </row>
    <row r="517" spans="2:11" s="12" customFormat="1">
      <c r="B517" s="10"/>
      <c r="C517" s="11"/>
      <c r="E517" s="10"/>
      <c r="F517" s="11"/>
      <c r="G517" s="11"/>
      <c r="H517" s="11"/>
      <c r="I517" s="11"/>
      <c r="J517" s="11"/>
      <c r="K517" s="11"/>
    </row>
    <row r="518" spans="2:11" s="12" customFormat="1">
      <c r="B518" s="10"/>
      <c r="C518" s="11"/>
      <c r="E518" s="10"/>
      <c r="F518" s="11"/>
      <c r="G518" s="11"/>
      <c r="H518" s="11"/>
      <c r="I518" s="11"/>
      <c r="J518" s="11"/>
      <c r="K518" s="11"/>
    </row>
    <row r="519" spans="2:11" s="12" customFormat="1">
      <c r="B519" s="10"/>
      <c r="C519" s="11"/>
      <c r="E519" s="10"/>
      <c r="F519" s="11"/>
      <c r="G519" s="11"/>
      <c r="H519" s="11"/>
      <c r="I519" s="11"/>
      <c r="J519" s="11"/>
      <c r="K519" s="11"/>
    </row>
    <row r="520" spans="2:11" s="12" customFormat="1">
      <c r="B520" s="10"/>
      <c r="C520" s="11"/>
      <c r="E520" s="10"/>
      <c r="F520" s="11"/>
      <c r="G520" s="11"/>
      <c r="H520" s="11"/>
      <c r="I520" s="11"/>
      <c r="J520" s="11"/>
      <c r="K520" s="11"/>
    </row>
    <row r="521" spans="2:11" s="12" customFormat="1">
      <c r="B521" s="10"/>
      <c r="C521" s="11"/>
      <c r="E521" s="10"/>
      <c r="F521" s="11"/>
      <c r="G521" s="11"/>
      <c r="H521" s="11"/>
      <c r="I521" s="11"/>
      <c r="J521" s="11"/>
      <c r="K521" s="11"/>
    </row>
    <row r="522" spans="2:11" s="12" customFormat="1">
      <c r="B522" s="10"/>
      <c r="C522" s="11"/>
      <c r="E522" s="10"/>
      <c r="F522" s="11"/>
      <c r="G522" s="11"/>
      <c r="H522" s="11"/>
      <c r="I522" s="11"/>
      <c r="J522" s="11"/>
      <c r="K522" s="11"/>
    </row>
    <row r="523" spans="2:11" s="12" customFormat="1">
      <c r="B523" s="10"/>
      <c r="C523" s="11"/>
      <c r="E523" s="10"/>
      <c r="F523" s="11"/>
      <c r="G523" s="11"/>
      <c r="H523" s="11"/>
      <c r="I523" s="11"/>
      <c r="J523" s="11"/>
      <c r="K523" s="11"/>
    </row>
    <row r="524" spans="2:11" s="12" customFormat="1">
      <c r="B524" s="10"/>
      <c r="C524" s="11"/>
      <c r="E524" s="10"/>
      <c r="F524" s="11"/>
      <c r="G524" s="11"/>
      <c r="H524" s="11"/>
      <c r="I524" s="11"/>
      <c r="J524" s="11"/>
      <c r="K524" s="11"/>
    </row>
    <row r="525" spans="2:11" s="12" customFormat="1">
      <c r="B525" s="10"/>
      <c r="C525" s="11"/>
      <c r="E525" s="10"/>
      <c r="F525" s="11"/>
      <c r="G525" s="11"/>
      <c r="H525" s="11"/>
      <c r="I525" s="11"/>
      <c r="J525" s="11"/>
      <c r="K525" s="11"/>
    </row>
    <row r="526" spans="2:11" s="12" customFormat="1">
      <c r="B526" s="10"/>
      <c r="C526" s="11"/>
      <c r="E526" s="10"/>
      <c r="F526" s="11"/>
      <c r="G526" s="11"/>
      <c r="H526" s="11"/>
      <c r="I526" s="11"/>
      <c r="J526" s="11"/>
      <c r="K526" s="11"/>
    </row>
    <row r="527" spans="2:11" s="12" customFormat="1">
      <c r="B527" s="10"/>
      <c r="C527" s="11"/>
      <c r="E527" s="10"/>
      <c r="F527" s="11"/>
      <c r="G527" s="11"/>
      <c r="H527" s="11"/>
      <c r="I527" s="11"/>
      <c r="J527" s="11"/>
      <c r="K527" s="11"/>
    </row>
    <row r="528" spans="2:11" s="12" customFormat="1">
      <c r="B528" s="10"/>
      <c r="C528" s="11"/>
      <c r="E528" s="10"/>
      <c r="F528" s="11"/>
      <c r="G528" s="11"/>
      <c r="H528" s="11"/>
      <c r="I528" s="11"/>
      <c r="J528" s="11"/>
      <c r="K528" s="11"/>
    </row>
    <row r="529" spans="2:11" s="12" customFormat="1">
      <c r="B529" s="10"/>
      <c r="C529" s="11"/>
      <c r="E529" s="10"/>
      <c r="F529" s="11"/>
      <c r="G529" s="11"/>
      <c r="H529" s="11"/>
      <c r="I529" s="11"/>
      <c r="J529" s="11"/>
      <c r="K529" s="11"/>
    </row>
    <row r="530" spans="2:11" s="12" customFormat="1">
      <c r="B530" s="10"/>
      <c r="C530" s="11"/>
      <c r="E530" s="10"/>
      <c r="F530" s="11"/>
      <c r="G530" s="11"/>
      <c r="H530" s="11"/>
      <c r="I530" s="11"/>
      <c r="J530" s="11"/>
      <c r="K530" s="11"/>
    </row>
    <row r="531" spans="2:11" s="12" customFormat="1">
      <c r="B531" s="10"/>
      <c r="C531" s="11"/>
      <c r="E531" s="10"/>
      <c r="F531" s="11"/>
      <c r="G531" s="11"/>
      <c r="H531" s="11"/>
      <c r="I531" s="11"/>
      <c r="J531" s="11"/>
      <c r="K531" s="11"/>
    </row>
    <row r="532" spans="2:11" s="12" customFormat="1">
      <c r="B532" s="10"/>
      <c r="C532" s="11"/>
      <c r="E532" s="10"/>
      <c r="F532" s="11"/>
      <c r="G532" s="11"/>
      <c r="H532" s="11"/>
      <c r="I532" s="11"/>
      <c r="J532" s="11"/>
      <c r="K532" s="11"/>
    </row>
    <row r="533" spans="2:11" s="12" customFormat="1">
      <c r="B533" s="10"/>
      <c r="C533" s="11"/>
      <c r="E533" s="10"/>
      <c r="F533" s="11"/>
      <c r="G533" s="11"/>
      <c r="H533" s="11"/>
      <c r="I533" s="11"/>
      <c r="J533" s="11"/>
      <c r="K533" s="11"/>
    </row>
    <row r="534" spans="2:11" s="12" customFormat="1">
      <c r="B534" s="10"/>
      <c r="C534" s="11"/>
      <c r="E534" s="10"/>
      <c r="F534" s="11"/>
      <c r="G534" s="11"/>
      <c r="H534" s="11"/>
      <c r="I534" s="11"/>
      <c r="J534" s="11"/>
      <c r="K534" s="11"/>
    </row>
    <row r="535" spans="2:11" s="12" customFormat="1">
      <c r="B535" s="10"/>
      <c r="C535" s="11"/>
      <c r="E535" s="10"/>
      <c r="F535" s="11"/>
      <c r="G535" s="11"/>
      <c r="H535" s="11"/>
      <c r="I535" s="11"/>
      <c r="J535" s="11"/>
      <c r="K535" s="11"/>
    </row>
    <row r="536" spans="2:11" s="12" customFormat="1">
      <c r="B536" s="10"/>
      <c r="C536" s="11"/>
      <c r="E536" s="10"/>
      <c r="F536" s="11"/>
      <c r="G536" s="11"/>
      <c r="H536" s="11"/>
      <c r="I536" s="11"/>
      <c r="J536" s="11"/>
      <c r="K536" s="11"/>
    </row>
    <row r="537" spans="2:11" s="12" customFormat="1">
      <c r="B537" s="10"/>
      <c r="C537" s="11"/>
      <c r="E537" s="10"/>
      <c r="F537" s="11"/>
      <c r="G537" s="11"/>
      <c r="H537" s="11"/>
      <c r="I537" s="11"/>
      <c r="J537" s="11"/>
      <c r="K537" s="11"/>
    </row>
    <row r="538" spans="2:11" s="12" customFormat="1">
      <c r="B538" s="10"/>
      <c r="C538" s="11"/>
      <c r="E538" s="10"/>
      <c r="F538" s="11"/>
      <c r="G538" s="11"/>
      <c r="H538" s="11"/>
      <c r="I538" s="11"/>
      <c r="J538" s="11"/>
      <c r="K538" s="11"/>
    </row>
    <row r="539" spans="2:11" s="12" customFormat="1">
      <c r="B539" s="10"/>
      <c r="C539" s="11"/>
      <c r="E539" s="10"/>
      <c r="F539" s="11"/>
      <c r="G539" s="11"/>
      <c r="H539" s="11"/>
      <c r="I539" s="11"/>
      <c r="J539" s="11"/>
      <c r="K539" s="11"/>
    </row>
    <row r="540" spans="2:11" s="12" customFormat="1">
      <c r="B540" s="10"/>
      <c r="C540" s="11"/>
      <c r="E540" s="10"/>
      <c r="F540" s="11"/>
      <c r="G540" s="11"/>
      <c r="H540" s="11"/>
      <c r="I540" s="11"/>
      <c r="J540" s="11"/>
      <c r="K540" s="11"/>
    </row>
    <row r="541" spans="2:11" s="12" customFormat="1">
      <c r="B541" s="10"/>
      <c r="C541" s="11"/>
      <c r="E541" s="10"/>
      <c r="F541" s="11"/>
      <c r="G541" s="11"/>
      <c r="H541" s="11"/>
      <c r="I541" s="11"/>
      <c r="J541" s="11"/>
      <c r="K541" s="11"/>
    </row>
    <row r="542" spans="2:11" s="12" customFormat="1">
      <c r="B542" s="10"/>
      <c r="C542" s="11"/>
      <c r="E542" s="10"/>
      <c r="F542" s="11"/>
      <c r="G542" s="11"/>
      <c r="H542" s="11"/>
      <c r="I542" s="11"/>
      <c r="J542" s="11"/>
      <c r="K542" s="11"/>
    </row>
    <row r="543" spans="2:11" s="12" customFormat="1">
      <c r="B543" s="10"/>
      <c r="C543" s="11"/>
      <c r="E543" s="10"/>
      <c r="F543" s="11"/>
      <c r="G543" s="11"/>
      <c r="H543" s="11"/>
      <c r="I543" s="11"/>
      <c r="J543" s="11"/>
      <c r="K543" s="11"/>
    </row>
    <row r="544" spans="2:11" s="12" customFormat="1">
      <c r="B544" s="10"/>
      <c r="C544" s="11"/>
      <c r="E544" s="10"/>
      <c r="F544" s="11"/>
      <c r="G544" s="11"/>
      <c r="H544" s="11"/>
      <c r="I544" s="11"/>
      <c r="J544" s="11"/>
      <c r="K544" s="11"/>
    </row>
    <row r="545" spans="2:11" s="12" customFormat="1">
      <c r="B545" s="10"/>
      <c r="C545" s="11"/>
      <c r="E545" s="10"/>
      <c r="F545" s="11"/>
      <c r="G545" s="11"/>
      <c r="H545" s="11"/>
      <c r="I545" s="11"/>
      <c r="J545" s="11"/>
      <c r="K545" s="11"/>
    </row>
    <row r="546" spans="2:11" s="12" customFormat="1">
      <c r="B546" s="10"/>
      <c r="C546" s="11"/>
      <c r="E546" s="10"/>
      <c r="F546" s="11"/>
      <c r="G546" s="11"/>
      <c r="H546" s="11"/>
      <c r="I546" s="11"/>
      <c r="J546" s="11"/>
      <c r="K546" s="11"/>
    </row>
  </sheetData>
  <mergeCells count="10">
    <mergeCell ref="L2:L3"/>
    <mergeCell ref="F2:F3"/>
    <mergeCell ref="H2:H3"/>
    <mergeCell ref="I2:I3"/>
    <mergeCell ref="J2:J3"/>
    <mergeCell ref="B2:B3"/>
    <mergeCell ref="D2:D3"/>
    <mergeCell ref="C2:C3"/>
    <mergeCell ref="E2:E3"/>
    <mergeCell ref="K2:K3"/>
  </mergeCells>
  <phoneticPr fontId="1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1286-E3A4-4CBE-8C9B-FF5E67EF45B5}">
  <dimension ref="A1:Z87"/>
  <sheetViews>
    <sheetView workbookViewId="0">
      <selection activeCell="A2" sqref="A2:IV93"/>
    </sheetView>
  </sheetViews>
  <sheetFormatPr defaultRowHeight="12.75"/>
  <cols>
    <col min="1" max="1" width="13.7109375" bestFit="1" customWidth="1"/>
    <col min="2" max="4" width="11.42578125" customWidth="1"/>
    <col min="5" max="5" width="13.42578125" bestFit="1" customWidth="1"/>
    <col min="6" max="6" width="11.42578125" customWidth="1"/>
    <col min="7" max="7" width="13" bestFit="1" customWidth="1"/>
    <col min="8" max="8" width="15.7109375" bestFit="1" customWidth="1"/>
    <col min="9" max="10" width="16.140625" bestFit="1" customWidth="1"/>
    <col min="11" max="11" width="18.140625" bestFit="1" customWidth="1"/>
    <col min="12" max="256" width="11.42578125" customWidth="1"/>
  </cols>
  <sheetData>
    <row r="1" spans="1:26" ht="13.5" thickBot="1"/>
    <row r="2" spans="1:26" s="2" customFormat="1">
      <c r="B2" s="84" t="s">
        <v>0</v>
      </c>
      <c r="C2" s="86" t="s">
        <v>1</v>
      </c>
      <c r="D2" s="86" t="s">
        <v>2</v>
      </c>
      <c r="E2" s="88" t="s">
        <v>3</v>
      </c>
      <c r="F2" s="92" t="s">
        <v>4</v>
      </c>
      <c r="G2" s="82">
        <v>12</v>
      </c>
      <c r="H2" s="88" t="s">
        <v>5</v>
      </c>
      <c r="I2" s="88" t="s">
        <v>6</v>
      </c>
      <c r="J2" s="94" t="s">
        <v>6</v>
      </c>
      <c r="K2" s="88" t="s">
        <v>7</v>
      </c>
      <c r="L2" s="90" t="s">
        <v>8</v>
      </c>
      <c r="M2" s="13"/>
      <c r="N2" s="13"/>
      <c r="O2" s="13"/>
      <c r="P2" s="13"/>
      <c r="Q2" s="13"/>
      <c r="R2" s="13"/>
      <c r="S2" s="13"/>
      <c r="T2" s="13"/>
      <c r="U2" s="13"/>
    </row>
    <row r="3" spans="1:26" s="2" customFormat="1" ht="26.25" thickBot="1">
      <c r="B3" s="85"/>
      <c r="C3" s="87"/>
      <c r="D3" s="87"/>
      <c r="E3" s="89"/>
      <c r="F3" s="93"/>
      <c r="G3" s="83" t="s">
        <v>9</v>
      </c>
      <c r="H3" s="89"/>
      <c r="I3" s="89"/>
      <c r="J3" s="95"/>
      <c r="K3" s="89"/>
      <c r="L3" s="91"/>
      <c r="M3" s="13"/>
      <c r="N3" s="13" t="s">
        <v>10</v>
      </c>
      <c r="O3" s="13" t="s">
        <v>11</v>
      </c>
      <c r="P3" s="13" t="s">
        <v>12</v>
      </c>
      <c r="Q3" s="13"/>
      <c r="R3" s="13"/>
      <c r="S3" s="13"/>
      <c r="T3" s="13"/>
      <c r="U3" s="13"/>
      <c r="W3" s="2" t="s">
        <v>13</v>
      </c>
      <c r="Y3" s="2" t="s">
        <v>13</v>
      </c>
      <c r="Z3" s="2">
        <v>12</v>
      </c>
    </row>
    <row r="4" spans="1:26">
      <c r="Q4" s="13"/>
    </row>
    <row r="5" spans="1:26" s="2" customFormat="1" ht="13.5" hidden="1" thickBot="1">
      <c r="A5" s="2" t="s">
        <v>27</v>
      </c>
      <c r="B5" s="29">
        <v>6</v>
      </c>
      <c r="C5" s="30">
        <v>12</v>
      </c>
      <c r="D5" s="30">
        <v>1</v>
      </c>
      <c r="E5" s="30">
        <f t="shared" ref="E5:E18" si="0">+C5*D5</f>
        <v>12</v>
      </c>
      <c r="F5" s="31">
        <v>1.96</v>
      </c>
      <c r="G5" s="30">
        <f t="shared" ref="G5:G20" si="1">+F5*E5</f>
        <v>23.52</v>
      </c>
      <c r="H5" s="30">
        <f t="shared" ref="H5:H18" si="2">+G5/$G$2</f>
        <v>1.96</v>
      </c>
      <c r="I5" s="30">
        <f t="shared" ref="I5:I20" si="3">+$G$2/F5</f>
        <v>6.1224489795918364</v>
      </c>
      <c r="J5" s="30">
        <v>6</v>
      </c>
      <c r="K5" s="30">
        <f t="shared" ref="K5:K22" si="4">+E5/J5</f>
        <v>2</v>
      </c>
      <c r="L5" s="32">
        <v>2</v>
      </c>
      <c r="M5" s="13"/>
      <c r="N5"/>
      <c r="O5"/>
      <c r="P5"/>
      <c r="Q5" s="13"/>
      <c r="R5" s="12"/>
      <c r="S5" s="12"/>
      <c r="T5" s="12"/>
      <c r="U5" s="12"/>
      <c r="V5" s="1">
        <f>12-J5*F5</f>
        <v>0.24000000000000021</v>
      </c>
      <c r="W5" s="1">
        <f>+L5*V5</f>
        <v>0.48000000000000043</v>
      </c>
      <c r="X5" s="1">
        <f>+L5-H5</f>
        <v>4.0000000000000036E-2</v>
      </c>
      <c r="Y5" s="1">
        <f>+X5*$G$2</f>
        <v>0.48000000000000043</v>
      </c>
      <c r="Z5" s="2">
        <f>+Y5/$Z$3</f>
        <v>4.0000000000000036E-2</v>
      </c>
    </row>
    <row r="6" spans="1:26" ht="13.5" hidden="1" thickBot="1">
      <c r="A6" s="2" t="s">
        <v>28</v>
      </c>
      <c r="B6" s="29">
        <v>6</v>
      </c>
      <c r="C6" s="30">
        <v>18</v>
      </c>
      <c r="D6" s="30">
        <v>2</v>
      </c>
      <c r="E6" s="30">
        <f t="shared" si="0"/>
        <v>36</v>
      </c>
      <c r="F6" s="31">
        <f>0.74+0.74+0.36+0.36</f>
        <v>2.1999999999999997</v>
      </c>
      <c r="G6" s="30">
        <f t="shared" si="1"/>
        <v>79.199999999999989</v>
      </c>
      <c r="H6" s="30">
        <f t="shared" si="2"/>
        <v>6.5999999999999988</v>
      </c>
      <c r="I6" s="30">
        <f t="shared" si="3"/>
        <v>5.454545454545455</v>
      </c>
      <c r="J6" s="30">
        <v>5</v>
      </c>
      <c r="K6" s="30">
        <f t="shared" si="4"/>
        <v>7.2</v>
      </c>
      <c r="L6" s="32">
        <v>7</v>
      </c>
      <c r="N6" s="18">
        <v>1</v>
      </c>
      <c r="O6" s="18">
        <v>7</v>
      </c>
      <c r="P6" s="18">
        <f t="shared" ref="P6:P14" si="5">O6*N6</f>
        <v>7</v>
      </c>
      <c r="Q6" s="13"/>
    </row>
    <row r="7" spans="1:26" ht="13.5" hidden="1" thickBot="1">
      <c r="A7" s="2" t="s">
        <v>29</v>
      </c>
      <c r="B7" s="29">
        <v>6</v>
      </c>
      <c r="C7" s="30">
        <v>17</v>
      </c>
      <c r="D7" s="30">
        <v>2</v>
      </c>
      <c r="E7" s="30">
        <f t="shared" si="0"/>
        <v>34</v>
      </c>
      <c r="F7" s="31">
        <f>0.61+0.61+0.3+0.3</f>
        <v>1.82</v>
      </c>
      <c r="G7" s="30">
        <f t="shared" si="1"/>
        <v>61.88</v>
      </c>
      <c r="H7" s="30">
        <f t="shared" si="2"/>
        <v>5.1566666666666672</v>
      </c>
      <c r="I7" s="30">
        <f t="shared" si="3"/>
        <v>6.5934065934065931</v>
      </c>
      <c r="J7" s="30">
        <v>6</v>
      </c>
      <c r="K7" s="30">
        <f t="shared" si="4"/>
        <v>5.666666666666667</v>
      </c>
      <c r="L7" s="32">
        <v>6</v>
      </c>
      <c r="N7" s="12">
        <v>1.8</v>
      </c>
      <c r="O7" s="12">
        <v>6</v>
      </c>
      <c r="P7" s="12">
        <f t="shared" si="5"/>
        <v>10.8</v>
      </c>
      <c r="Q7" s="13"/>
    </row>
    <row r="8" spans="1:26" s="2" customFormat="1" ht="13.5" hidden="1" thickBot="1">
      <c r="A8" s="2" t="s">
        <v>30</v>
      </c>
      <c r="B8" s="29">
        <v>6</v>
      </c>
      <c r="C8" s="30">
        <v>25</v>
      </c>
      <c r="D8" s="30">
        <v>1</v>
      </c>
      <c r="E8" s="30">
        <f t="shared" si="0"/>
        <v>25</v>
      </c>
      <c r="F8" s="31">
        <v>1.26</v>
      </c>
      <c r="G8" s="30">
        <f t="shared" si="1"/>
        <v>31.5</v>
      </c>
      <c r="H8" s="30">
        <f t="shared" si="2"/>
        <v>2.625</v>
      </c>
      <c r="I8" s="30">
        <f t="shared" si="3"/>
        <v>9.5238095238095237</v>
      </c>
      <c r="J8" s="30">
        <v>9</v>
      </c>
      <c r="K8" s="30">
        <f t="shared" si="4"/>
        <v>2.7777777777777777</v>
      </c>
      <c r="L8" s="32">
        <v>3</v>
      </c>
      <c r="M8" s="13"/>
      <c r="N8" s="15">
        <v>0.66</v>
      </c>
      <c r="O8" s="15">
        <v>2</v>
      </c>
      <c r="P8" s="15">
        <f t="shared" si="5"/>
        <v>1.32</v>
      </c>
      <c r="Q8" s="13"/>
      <c r="R8" s="12"/>
      <c r="S8" s="12"/>
      <c r="T8" s="12"/>
      <c r="U8" s="12"/>
      <c r="V8" s="1">
        <f t="shared" ref="V8:V18" si="6">12-J8*F8</f>
        <v>0.66000000000000014</v>
      </c>
      <c r="W8" s="1">
        <f t="shared" ref="W8:W18" si="7">+L8*V8</f>
        <v>1.9800000000000004</v>
      </c>
      <c r="X8" s="1">
        <f t="shared" ref="X8:X18" si="8">+L8-H8</f>
        <v>0.375</v>
      </c>
      <c r="Y8" s="1">
        <f t="shared" ref="Y8:Y18" si="9">+X8*$G$2</f>
        <v>4.5</v>
      </c>
      <c r="Z8" s="2">
        <f t="shared" ref="Z8:Z18" si="10">+Y8/$Z$3</f>
        <v>0.375</v>
      </c>
    </row>
    <row r="9" spans="1:26" s="2" customFormat="1" ht="13.5" hidden="1" thickBot="1">
      <c r="A9" s="2" t="s">
        <v>30</v>
      </c>
      <c r="B9" s="29">
        <v>6</v>
      </c>
      <c r="C9" s="30">
        <v>25</v>
      </c>
      <c r="D9" s="30">
        <v>1</v>
      </c>
      <c r="E9" s="30">
        <f t="shared" si="0"/>
        <v>25</v>
      </c>
      <c r="F9" s="31">
        <v>0.94</v>
      </c>
      <c r="G9" s="30">
        <f t="shared" si="1"/>
        <v>23.5</v>
      </c>
      <c r="H9" s="30">
        <f t="shared" si="2"/>
        <v>1.9583333333333333</v>
      </c>
      <c r="I9" s="30">
        <f t="shared" si="3"/>
        <v>12.765957446808512</v>
      </c>
      <c r="J9" s="30">
        <v>12</v>
      </c>
      <c r="K9" s="30">
        <f t="shared" si="4"/>
        <v>2.0833333333333335</v>
      </c>
      <c r="L9" s="32">
        <v>2</v>
      </c>
      <c r="M9" s="13"/>
      <c r="N9" s="15">
        <v>0.72</v>
      </c>
      <c r="O9" s="15">
        <v>2</v>
      </c>
      <c r="P9" s="15">
        <f t="shared" si="5"/>
        <v>1.44</v>
      </c>
      <c r="Q9" s="13"/>
      <c r="R9" s="12"/>
      <c r="S9" s="12"/>
      <c r="T9" s="12"/>
      <c r="U9" s="12"/>
      <c r="V9" s="1">
        <f t="shared" si="6"/>
        <v>0.72000000000000064</v>
      </c>
      <c r="W9" s="1">
        <f t="shared" si="7"/>
        <v>1.4400000000000013</v>
      </c>
      <c r="X9" s="1">
        <f t="shared" si="8"/>
        <v>4.1666666666666741E-2</v>
      </c>
      <c r="Y9" s="1">
        <f t="shared" si="9"/>
        <v>0.50000000000000089</v>
      </c>
      <c r="Z9" s="2">
        <f t="shared" si="10"/>
        <v>4.1666666666666741E-2</v>
      </c>
    </row>
    <row r="10" spans="1:26" s="2" customFormat="1" ht="13.5" hidden="1" thickBot="1">
      <c r="A10" s="2" t="s">
        <v>31</v>
      </c>
      <c r="B10" s="29">
        <v>6</v>
      </c>
      <c r="C10" s="30">
        <v>14</v>
      </c>
      <c r="D10" s="30">
        <v>1</v>
      </c>
      <c r="E10" s="30">
        <f t="shared" si="0"/>
        <v>14</v>
      </c>
      <c r="F10" s="31">
        <v>1.28</v>
      </c>
      <c r="G10" s="30">
        <f t="shared" si="1"/>
        <v>17.920000000000002</v>
      </c>
      <c r="H10" s="30">
        <f t="shared" si="2"/>
        <v>1.4933333333333334</v>
      </c>
      <c r="I10" s="30">
        <f t="shared" si="3"/>
        <v>9.375</v>
      </c>
      <c r="J10" s="30">
        <v>9</v>
      </c>
      <c r="K10" s="30">
        <f t="shared" si="4"/>
        <v>1.5555555555555556</v>
      </c>
      <c r="L10" s="32">
        <v>2</v>
      </c>
      <c r="M10" s="13"/>
      <c r="N10" s="15">
        <v>0.48</v>
      </c>
      <c r="O10" s="15">
        <v>9</v>
      </c>
      <c r="P10" s="15">
        <f t="shared" si="5"/>
        <v>4.32</v>
      </c>
      <c r="Q10" s="13"/>
      <c r="R10" s="12"/>
      <c r="S10" s="12"/>
      <c r="T10" s="12"/>
      <c r="U10" s="12"/>
      <c r="V10" s="1">
        <f t="shared" si="6"/>
        <v>0.48000000000000043</v>
      </c>
      <c r="W10" s="1">
        <f t="shared" si="7"/>
        <v>0.96000000000000085</v>
      </c>
      <c r="X10" s="1">
        <f t="shared" si="8"/>
        <v>0.5066666666666666</v>
      </c>
      <c r="Y10" s="1">
        <f t="shared" si="9"/>
        <v>6.0799999999999992</v>
      </c>
      <c r="Z10" s="2">
        <f t="shared" si="10"/>
        <v>0.5066666666666666</v>
      </c>
    </row>
    <row r="11" spans="1:26" s="2" customFormat="1" ht="13.5" hidden="1" thickBot="1">
      <c r="A11" s="2" t="s">
        <v>31</v>
      </c>
      <c r="B11" s="29">
        <v>6</v>
      </c>
      <c r="C11" s="30">
        <v>28</v>
      </c>
      <c r="D11" s="30">
        <v>1</v>
      </c>
      <c r="E11" s="30">
        <f t="shared" si="0"/>
        <v>28</v>
      </c>
      <c r="F11" s="31">
        <v>0.49</v>
      </c>
      <c r="G11" s="30">
        <f t="shared" si="1"/>
        <v>13.719999999999999</v>
      </c>
      <c r="H11" s="30">
        <f t="shared" si="2"/>
        <v>1.1433333333333333</v>
      </c>
      <c r="I11" s="30">
        <f t="shared" si="3"/>
        <v>24.489795918367346</v>
      </c>
      <c r="J11" s="30">
        <v>24</v>
      </c>
      <c r="K11" s="30">
        <f t="shared" si="4"/>
        <v>1.1666666666666667</v>
      </c>
      <c r="L11" s="32">
        <v>2</v>
      </c>
      <c r="M11" s="13"/>
      <c r="N11" s="15">
        <v>10</v>
      </c>
      <c r="O11" s="15">
        <v>1</v>
      </c>
      <c r="P11" s="15">
        <f t="shared" si="5"/>
        <v>10</v>
      </c>
      <c r="Q11" s="13"/>
      <c r="R11" s="12"/>
      <c r="S11" s="12"/>
      <c r="T11" s="12"/>
      <c r="U11" s="12"/>
      <c r="V11" s="1">
        <f t="shared" si="6"/>
        <v>0.24000000000000021</v>
      </c>
      <c r="W11" s="1">
        <f t="shared" si="7"/>
        <v>0.48000000000000043</v>
      </c>
      <c r="X11" s="1">
        <f t="shared" si="8"/>
        <v>0.85666666666666669</v>
      </c>
      <c r="Y11" s="1">
        <f t="shared" si="9"/>
        <v>10.280000000000001</v>
      </c>
      <c r="Z11" s="2">
        <f t="shared" si="10"/>
        <v>0.8566666666666668</v>
      </c>
    </row>
    <row r="12" spans="1:26" s="2" customFormat="1" ht="13.5" hidden="1" thickBot="1">
      <c r="A12" s="2" t="s">
        <v>32</v>
      </c>
      <c r="B12" s="29">
        <v>6</v>
      </c>
      <c r="C12" s="30">
        <v>25</v>
      </c>
      <c r="D12" s="30">
        <v>1</v>
      </c>
      <c r="E12" s="30">
        <f t="shared" si="0"/>
        <v>25</v>
      </c>
      <c r="F12" s="31">
        <v>1.52</v>
      </c>
      <c r="G12" s="30">
        <f t="shared" si="1"/>
        <v>38</v>
      </c>
      <c r="H12" s="30">
        <f t="shared" si="2"/>
        <v>3.1666666666666665</v>
      </c>
      <c r="I12" s="30">
        <f t="shared" si="3"/>
        <v>7.8947368421052628</v>
      </c>
      <c r="J12" s="30">
        <v>7</v>
      </c>
      <c r="K12" s="30">
        <f t="shared" si="4"/>
        <v>3.5714285714285716</v>
      </c>
      <c r="L12" s="32">
        <v>4</v>
      </c>
      <c r="M12" s="13"/>
      <c r="N12" s="15">
        <v>1.36</v>
      </c>
      <c r="O12" s="15">
        <v>6</v>
      </c>
      <c r="P12" s="15">
        <f t="shared" si="5"/>
        <v>8.16</v>
      </c>
      <c r="Q12" s="13"/>
      <c r="R12" s="12"/>
      <c r="S12" s="12"/>
      <c r="T12" s="12"/>
      <c r="U12" s="12"/>
      <c r="V12" s="1">
        <f t="shared" si="6"/>
        <v>1.3599999999999994</v>
      </c>
      <c r="W12" s="1">
        <f t="shared" si="7"/>
        <v>5.4399999999999977</v>
      </c>
      <c r="X12" s="1">
        <f t="shared" si="8"/>
        <v>0.83333333333333348</v>
      </c>
      <c r="Y12" s="1">
        <f t="shared" si="9"/>
        <v>10.000000000000002</v>
      </c>
      <c r="Z12" s="2">
        <f t="shared" si="10"/>
        <v>0.83333333333333348</v>
      </c>
    </row>
    <row r="13" spans="1:26" s="2" customFormat="1" ht="13.5" hidden="1" thickBot="1">
      <c r="A13" s="2" t="s">
        <v>32</v>
      </c>
      <c r="B13" s="29">
        <v>6</v>
      </c>
      <c r="C13" s="30">
        <v>25</v>
      </c>
      <c r="D13" s="30">
        <v>1</v>
      </c>
      <c r="E13" s="30">
        <f t="shared" si="0"/>
        <v>25</v>
      </c>
      <c r="F13" s="31">
        <v>0.8</v>
      </c>
      <c r="G13" s="30">
        <f t="shared" si="1"/>
        <v>20</v>
      </c>
      <c r="H13" s="30">
        <f t="shared" si="2"/>
        <v>1.6666666666666667</v>
      </c>
      <c r="I13" s="30">
        <f t="shared" si="3"/>
        <v>15</v>
      </c>
      <c r="J13" s="30">
        <v>15</v>
      </c>
      <c r="K13" s="30">
        <f t="shared" si="4"/>
        <v>1.6666666666666667</v>
      </c>
      <c r="L13" s="32">
        <v>2</v>
      </c>
      <c r="M13" s="13"/>
      <c r="N13" s="18">
        <v>5.92</v>
      </c>
      <c r="O13" s="18">
        <v>1</v>
      </c>
      <c r="P13" s="18">
        <f t="shared" si="5"/>
        <v>5.92</v>
      </c>
      <c r="Q13" s="13"/>
      <c r="R13" s="12"/>
      <c r="S13" s="12"/>
      <c r="T13" s="12"/>
      <c r="U13" s="12"/>
      <c r="V13" s="1">
        <f t="shared" si="6"/>
        <v>0</v>
      </c>
      <c r="W13" s="1">
        <f t="shared" si="7"/>
        <v>0</v>
      </c>
      <c r="X13" s="1">
        <f t="shared" si="8"/>
        <v>0.33333333333333326</v>
      </c>
      <c r="Y13" s="1">
        <f t="shared" si="9"/>
        <v>3.9999999999999991</v>
      </c>
      <c r="Z13" s="2">
        <f t="shared" si="10"/>
        <v>0.33333333333333326</v>
      </c>
    </row>
    <row r="14" spans="1:26" s="2" customFormat="1" ht="13.5" hidden="1" thickBot="1">
      <c r="A14" s="2" t="s">
        <v>33</v>
      </c>
      <c r="B14" s="29">
        <v>6</v>
      </c>
      <c r="C14" s="30">
        <v>26</v>
      </c>
      <c r="D14" s="30">
        <v>1</v>
      </c>
      <c r="E14" s="30">
        <f t="shared" si="0"/>
        <v>26</v>
      </c>
      <c r="F14" s="31">
        <v>1.72</v>
      </c>
      <c r="G14" s="30">
        <f t="shared" si="1"/>
        <v>44.72</v>
      </c>
      <c r="H14" s="30">
        <f t="shared" si="2"/>
        <v>3.7266666666666666</v>
      </c>
      <c r="I14" s="30">
        <f t="shared" si="3"/>
        <v>6.9767441860465116</v>
      </c>
      <c r="J14" s="30">
        <v>7</v>
      </c>
      <c r="K14" s="30">
        <f t="shared" si="4"/>
        <v>3.7142857142857144</v>
      </c>
      <c r="L14" s="32">
        <v>4</v>
      </c>
      <c r="M14" s="13"/>
      <c r="N14" s="15">
        <v>3.4</v>
      </c>
      <c r="O14" s="15">
        <v>1</v>
      </c>
      <c r="P14" s="15">
        <f t="shared" si="5"/>
        <v>3.4</v>
      </c>
      <c r="Q14" s="13"/>
      <c r="R14" s="12"/>
      <c r="S14" s="12"/>
      <c r="T14" s="12"/>
      <c r="U14" s="12"/>
      <c r="V14" s="1">
        <f t="shared" si="6"/>
        <v>-3.9999999999999147E-2</v>
      </c>
      <c r="W14" s="1">
        <f t="shared" si="7"/>
        <v>-0.15999999999999659</v>
      </c>
      <c r="X14" s="1">
        <f t="shared" si="8"/>
        <v>0.27333333333333343</v>
      </c>
      <c r="Y14" s="1">
        <f t="shared" si="9"/>
        <v>3.2800000000000011</v>
      </c>
      <c r="Z14" s="2">
        <f t="shared" si="10"/>
        <v>0.27333333333333343</v>
      </c>
    </row>
    <row r="15" spans="1:26" s="2" customFormat="1" ht="13.5" hidden="1" thickBot="1">
      <c r="A15" s="2" t="s">
        <v>33</v>
      </c>
      <c r="B15" s="29">
        <v>6</v>
      </c>
      <c r="C15" s="30">
        <v>26</v>
      </c>
      <c r="D15" s="30">
        <v>1</v>
      </c>
      <c r="E15" s="30">
        <f t="shared" si="0"/>
        <v>26</v>
      </c>
      <c r="F15" s="31">
        <v>0.9</v>
      </c>
      <c r="G15" s="30">
        <f t="shared" si="1"/>
        <v>23.400000000000002</v>
      </c>
      <c r="H15" s="30">
        <f t="shared" si="2"/>
        <v>1.9500000000000002</v>
      </c>
      <c r="I15" s="30">
        <f t="shared" si="3"/>
        <v>13.333333333333332</v>
      </c>
      <c r="J15" s="30">
        <v>13</v>
      </c>
      <c r="K15" s="30">
        <f t="shared" si="4"/>
        <v>2</v>
      </c>
      <c r="L15" s="32">
        <v>2</v>
      </c>
      <c r="M15" s="13"/>
      <c r="N15" s="12"/>
      <c r="O15" s="12"/>
      <c r="P15" s="12"/>
      <c r="Q15" s="13"/>
      <c r="R15" s="12"/>
      <c r="S15" s="12"/>
      <c r="T15" s="12"/>
      <c r="U15" s="12"/>
      <c r="V15" s="1">
        <f t="shared" si="6"/>
        <v>0.29999999999999893</v>
      </c>
      <c r="W15" s="1">
        <f t="shared" si="7"/>
        <v>0.59999999999999787</v>
      </c>
      <c r="X15" s="1">
        <f t="shared" si="8"/>
        <v>4.9999999999999822E-2</v>
      </c>
      <c r="Y15" s="1">
        <f t="shared" si="9"/>
        <v>0.59999999999999787</v>
      </c>
      <c r="Z15" s="2">
        <f t="shared" si="10"/>
        <v>4.9999999999999822E-2</v>
      </c>
    </row>
    <row r="16" spans="1:26" s="2" customFormat="1" ht="15" hidden="1" customHeight="1" thickBot="1">
      <c r="A16" s="2" t="s">
        <v>34</v>
      </c>
      <c r="B16" s="29">
        <v>6</v>
      </c>
      <c r="C16" s="30">
        <v>25</v>
      </c>
      <c r="D16" s="30">
        <v>1</v>
      </c>
      <c r="E16" s="30">
        <f t="shared" si="0"/>
        <v>25</v>
      </c>
      <c r="F16" s="31">
        <v>1.86</v>
      </c>
      <c r="G16" s="30">
        <f t="shared" si="1"/>
        <v>46.5</v>
      </c>
      <c r="H16" s="30">
        <f t="shared" si="2"/>
        <v>3.875</v>
      </c>
      <c r="I16" s="30">
        <f t="shared" si="3"/>
        <v>6.4516129032258061</v>
      </c>
      <c r="J16" s="30">
        <v>6</v>
      </c>
      <c r="K16" s="30">
        <f t="shared" si="4"/>
        <v>4.166666666666667</v>
      </c>
      <c r="L16" s="32">
        <v>4</v>
      </c>
      <c r="M16" s="13"/>
      <c r="N16" s="12"/>
      <c r="O16" s="12"/>
      <c r="P16" s="12"/>
      <c r="Q16" s="13"/>
      <c r="R16" s="12"/>
      <c r="S16" s="12"/>
      <c r="T16" s="12"/>
      <c r="U16" s="12"/>
      <c r="V16" s="1">
        <f t="shared" si="6"/>
        <v>0.83999999999999986</v>
      </c>
      <c r="W16" s="1">
        <f t="shared" si="7"/>
        <v>3.3599999999999994</v>
      </c>
      <c r="X16" s="1">
        <f t="shared" si="8"/>
        <v>0.125</v>
      </c>
      <c r="Y16" s="1">
        <f t="shared" si="9"/>
        <v>1.5</v>
      </c>
      <c r="Z16" s="2">
        <f t="shared" si="10"/>
        <v>0.125</v>
      </c>
    </row>
    <row r="17" spans="1:26" s="2" customFormat="1" ht="13.5" hidden="1" thickBot="1">
      <c r="A17" s="2" t="s">
        <v>34</v>
      </c>
      <c r="B17" s="29">
        <v>6</v>
      </c>
      <c r="C17" s="30">
        <v>25</v>
      </c>
      <c r="D17" s="30">
        <v>1</v>
      </c>
      <c r="E17" s="30">
        <f t="shared" si="0"/>
        <v>25</v>
      </c>
      <c r="F17" s="31">
        <v>0.94</v>
      </c>
      <c r="G17" s="30">
        <f t="shared" si="1"/>
        <v>23.5</v>
      </c>
      <c r="H17" s="30">
        <f t="shared" si="2"/>
        <v>1.9583333333333333</v>
      </c>
      <c r="I17" s="30">
        <f t="shared" si="3"/>
        <v>12.765957446808512</v>
      </c>
      <c r="J17" s="30">
        <v>12</v>
      </c>
      <c r="K17" s="30">
        <f t="shared" si="4"/>
        <v>2.0833333333333335</v>
      </c>
      <c r="L17" s="32">
        <v>2</v>
      </c>
      <c r="M17" s="13"/>
      <c r="N17" s="12"/>
      <c r="O17" s="12"/>
      <c r="P17" s="12"/>
      <c r="Q17" s="13"/>
      <c r="R17" s="12"/>
      <c r="S17" s="12"/>
      <c r="T17" s="12"/>
      <c r="U17" s="12"/>
      <c r="V17" s="1">
        <f t="shared" si="6"/>
        <v>0.72000000000000064</v>
      </c>
      <c r="W17" s="1">
        <f t="shared" si="7"/>
        <v>1.4400000000000013</v>
      </c>
      <c r="X17" s="1">
        <f t="shared" si="8"/>
        <v>4.1666666666666741E-2</v>
      </c>
      <c r="Y17" s="1">
        <f t="shared" si="9"/>
        <v>0.50000000000000089</v>
      </c>
      <c r="Z17" s="2">
        <f t="shared" si="10"/>
        <v>4.1666666666666741E-2</v>
      </c>
    </row>
    <row r="18" spans="1:26" s="2" customFormat="1" ht="13.5" hidden="1" thickBot="1">
      <c r="A18" s="2" t="s">
        <v>35</v>
      </c>
      <c r="B18" s="29">
        <v>6</v>
      </c>
      <c r="C18" s="30">
        <v>15</v>
      </c>
      <c r="D18" s="30">
        <v>2</v>
      </c>
      <c r="E18" s="30">
        <f t="shared" si="0"/>
        <v>30</v>
      </c>
      <c r="F18" s="31">
        <v>1.78</v>
      </c>
      <c r="G18" s="30">
        <f t="shared" si="1"/>
        <v>53.4</v>
      </c>
      <c r="H18" s="30">
        <f t="shared" si="2"/>
        <v>4.45</v>
      </c>
      <c r="I18" s="30">
        <f t="shared" si="3"/>
        <v>6.7415730337078648</v>
      </c>
      <c r="J18" s="30">
        <v>6</v>
      </c>
      <c r="K18" s="30">
        <f t="shared" si="4"/>
        <v>5</v>
      </c>
      <c r="L18" s="32">
        <v>5</v>
      </c>
      <c r="M18" s="13"/>
      <c r="N18" s="12">
        <v>1.32</v>
      </c>
      <c r="O18" s="12">
        <v>5</v>
      </c>
      <c r="P18" s="12">
        <f t="shared" ref="P18:P23" si="11">O18*N18</f>
        <v>6.6000000000000005</v>
      </c>
      <c r="Q18" s="13"/>
      <c r="R18" s="12"/>
      <c r="S18" s="12"/>
      <c r="T18" s="12"/>
      <c r="U18" s="12"/>
      <c r="V18" s="1">
        <f t="shared" si="6"/>
        <v>1.3200000000000003</v>
      </c>
      <c r="W18" s="1">
        <f t="shared" si="7"/>
        <v>6.6000000000000014</v>
      </c>
      <c r="X18" s="1">
        <f t="shared" si="8"/>
        <v>0.54999999999999982</v>
      </c>
      <c r="Y18" s="1">
        <f t="shared" si="9"/>
        <v>6.5999999999999979</v>
      </c>
      <c r="Z18" s="2">
        <f t="shared" si="10"/>
        <v>0.54999999999999982</v>
      </c>
    </row>
    <row r="19" spans="1:26" ht="13.5" hidden="1" thickBot="1">
      <c r="A19" s="2" t="s">
        <v>36</v>
      </c>
      <c r="B19" s="29">
        <v>6</v>
      </c>
      <c r="C19" s="30">
        <v>6</v>
      </c>
      <c r="D19" s="30">
        <v>1</v>
      </c>
      <c r="E19" s="30">
        <v>6</v>
      </c>
      <c r="F19" s="31">
        <v>0.24</v>
      </c>
      <c r="G19" s="30">
        <f t="shared" si="1"/>
        <v>1.44</v>
      </c>
      <c r="H19" s="30">
        <f>+G19/$G$2</f>
        <v>0.12</v>
      </c>
      <c r="I19" s="30">
        <v>1</v>
      </c>
      <c r="J19" s="30">
        <v>1</v>
      </c>
      <c r="K19" s="30">
        <v>1</v>
      </c>
      <c r="L19" s="32">
        <v>1</v>
      </c>
      <c r="N19" s="15">
        <v>10.56</v>
      </c>
      <c r="O19" s="15">
        <v>1</v>
      </c>
      <c r="P19" s="15">
        <f t="shared" si="11"/>
        <v>10.56</v>
      </c>
      <c r="Q19" s="13"/>
    </row>
    <row r="20" spans="1:26" ht="13.5" hidden="1" thickBot="1">
      <c r="A20" s="2" t="s">
        <v>36</v>
      </c>
      <c r="B20" s="29">
        <v>6</v>
      </c>
      <c r="C20" s="30">
        <v>23</v>
      </c>
      <c r="D20" s="30">
        <v>1</v>
      </c>
      <c r="E20" s="30">
        <f>+C20*D20</f>
        <v>23</v>
      </c>
      <c r="F20" s="31">
        <v>0.6</v>
      </c>
      <c r="G20" s="30">
        <f t="shared" si="1"/>
        <v>13.799999999999999</v>
      </c>
      <c r="H20" s="30">
        <f>+G20/$G$2</f>
        <v>1.1499999999999999</v>
      </c>
      <c r="I20" s="30">
        <f t="shared" si="3"/>
        <v>20</v>
      </c>
      <c r="J20" s="30">
        <v>20</v>
      </c>
      <c r="K20" s="30">
        <f t="shared" si="4"/>
        <v>1.1499999999999999</v>
      </c>
      <c r="L20" s="32">
        <v>2</v>
      </c>
      <c r="N20" s="53">
        <v>1.4</v>
      </c>
      <c r="O20" s="53">
        <v>13</v>
      </c>
      <c r="P20" s="53">
        <f t="shared" si="11"/>
        <v>18.2</v>
      </c>
      <c r="Q20" s="13"/>
    </row>
    <row r="21" spans="1:26" ht="13.5" hidden="1" thickBot="1">
      <c r="A21" s="2" t="s">
        <v>37</v>
      </c>
      <c r="B21" s="29">
        <v>6</v>
      </c>
      <c r="C21" s="30">
        <v>36</v>
      </c>
      <c r="D21" s="30">
        <v>1</v>
      </c>
      <c r="E21" s="30">
        <f>+C21*D21</f>
        <v>36</v>
      </c>
      <c r="F21" s="31">
        <v>1.44</v>
      </c>
      <c r="G21" s="30">
        <f>+F21*E21</f>
        <v>51.839999999999996</v>
      </c>
      <c r="H21" s="30">
        <f>+G21/$G$2</f>
        <v>4.3199999999999994</v>
      </c>
      <c r="I21" s="30">
        <f>+$G$2/F21</f>
        <v>8.3333333333333339</v>
      </c>
      <c r="J21" s="30">
        <v>8</v>
      </c>
      <c r="K21" s="30">
        <f>+E21/J21</f>
        <v>4.5</v>
      </c>
      <c r="L21" s="32">
        <v>5</v>
      </c>
      <c r="N21" s="15">
        <v>10.199999999999999</v>
      </c>
      <c r="O21" s="15">
        <v>1</v>
      </c>
      <c r="P21" s="15">
        <f t="shared" si="11"/>
        <v>10.199999999999999</v>
      </c>
      <c r="Q21" s="13"/>
    </row>
    <row r="22" spans="1:26" hidden="1">
      <c r="A22" s="2" t="s">
        <v>38</v>
      </c>
      <c r="B22" s="29">
        <v>6</v>
      </c>
      <c r="C22" s="30">
        <v>44</v>
      </c>
      <c r="D22" s="30">
        <v>1</v>
      </c>
      <c r="E22" s="30">
        <f>+C22*D22</f>
        <v>44</v>
      </c>
      <c r="F22" s="31">
        <v>1.1200000000000001</v>
      </c>
      <c r="G22" s="30">
        <f>+F22*E22</f>
        <v>49.28</v>
      </c>
      <c r="H22" s="30">
        <f>+G22/$G$2</f>
        <v>4.1066666666666665</v>
      </c>
      <c r="I22" s="30">
        <f>+$G$2/F22</f>
        <v>10.714285714285714</v>
      </c>
      <c r="J22" s="30">
        <v>10</v>
      </c>
      <c r="K22" s="30">
        <f t="shared" si="4"/>
        <v>4.4000000000000004</v>
      </c>
      <c r="L22" s="32">
        <v>5</v>
      </c>
      <c r="N22" s="53">
        <v>0.8</v>
      </c>
      <c r="O22" s="53">
        <v>4</v>
      </c>
      <c r="P22" s="53">
        <f t="shared" si="11"/>
        <v>3.2</v>
      </c>
      <c r="Q22" s="13"/>
    </row>
    <row r="23" spans="1:26" ht="13.5" thickBot="1">
      <c r="A23" s="2"/>
      <c r="B23" s="12"/>
      <c r="C23" s="12"/>
      <c r="D23" s="12"/>
      <c r="E23" s="12"/>
      <c r="F23" s="54"/>
      <c r="G23" s="12"/>
      <c r="H23" s="12"/>
      <c r="I23" s="12"/>
      <c r="J23" s="12"/>
      <c r="K23" s="12"/>
      <c r="L23" s="12"/>
      <c r="N23" s="53">
        <v>7.52</v>
      </c>
      <c r="O23" s="53">
        <v>1</v>
      </c>
      <c r="P23" s="53">
        <f t="shared" si="11"/>
        <v>7.52</v>
      </c>
      <c r="Q23" s="13"/>
    </row>
    <row r="24" spans="1:26" ht="13.5" thickBot="1">
      <c r="A24" s="2"/>
      <c r="B24" s="12"/>
      <c r="C24" s="12"/>
      <c r="D24" s="12"/>
      <c r="E24" s="12"/>
      <c r="F24" s="54"/>
      <c r="G24" s="12"/>
      <c r="H24" s="12"/>
      <c r="I24" s="12"/>
      <c r="J24" s="12"/>
      <c r="K24" s="12"/>
      <c r="L24" s="12"/>
      <c r="M24" s="20">
        <f>SUM(L5:L22)</f>
        <v>60</v>
      </c>
      <c r="O24" s="53">
        <f>SUM(O6:O23)</f>
        <v>60</v>
      </c>
      <c r="P24" s="53">
        <f>SUM(P6:P23)</f>
        <v>108.64000000000001</v>
      </c>
      <c r="Q24" s="13"/>
    </row>
    <row r="25" spans="1:26">
      <c r="A25" s="2"/>
      <c r="B25" s="12"/>
      <c r="C25" s="12"/>
      <c r="D25" s="12"/>
      <c r="E25" s="12"/>
      <c r="F25" s="54"/>
      <c r="G25" s="12"/>
      <c r="H25" s="12"/>
      <c r="I25" s="12"/>
      <c r="J25" s="12"/>
      <c r="K25" s="12"/>
      <c r="L25" s="12">
        <v>1</v>
      </c>
      <c r="Q25" s="13"/>
    </row>
    <row r="26" spans="1:26">
      <c r="A26" s="2"/>
      <c r="B26" s="12"/>
      <c r="C26" s="12"/>
      <c r="D26" s="12"/>
      <c r="E26" s="12"/>
      <c r="F26" s="54"/>
      <c r="G26" s="12"/>
      <c r="H26" s="12"/>
      <c r="I26" s="12"/>
      <c r="J26" s="12"/>
      <c r="K26" s="12"/>
      <c r="L26" s="12">
        <v>1</v>
      </c>
      <c r="Q26" s="13"/>
    </row>
    <row r="27" spans="1:26">
      <c r="A27" s="2"/>
      <c r="B27" s="12"/>
      <c r="C27" s="12"/>
      <c r="D27" s="12"/>
      <c r="E27" s="12"/>
      <c r="F27" s="54"/>
      <c r="G27" s="12"/>
      <c r="H27" s="12"/>
      <c r="I27" s="12"/>
      <c r="J27" s="12"/>
      <c r="K27" s="12"/>
      <c r="L27" s="12">
        <v>1</v>
      </c>
      <c r="Q27" s="13"/>
    </row>
    <row r="28" spans="1:26">
      <c r="A28" s="2"/>
      <c r="B28" s="12"/>
      <c r="C28" s="12"/>
      <c r="D28" s="12"/>
      <c r="E28" s="12"/>
      <c r="F28" s="54"/>
      <c r="G28" s="12"/>
      <c r="H28" s="12"/>
      <c r="I28" s="12"/>
      <c r="J28" s="12"/>
      <c r="K28" s="12"/>
      <c r="L28" s="12">
        <v>1</v>
      </c>
      <c r="Q28" s="13"/>
    </row>
    <row r="29" spans="1:26">
      <c r="A29" s="2"/>
      <c r="B29" s="12"/>
      <c r="C29" s="12"/>
      <c r="D29" s="12"/>
      <c r="E29" s="12"/>
      <c r="F29" s="54"/>
      <c r="G29" s="12"/>
      <c r="H29" s="12"/>
      <c r="I29" s="12"/>
      <c r="J29" s="12"/>
      <c r="K29" s="12"/>
      <c r="L29" s="12">
        <v>1</v>
      </c>
      <c r="Q29" s="13"/>
    </row>
    <row r="30" spans="1:26">
      <c r="A30" s="2"/>
      <c r="B30" s="12"/>
      <c r="C30" s="12"/>
      <c r="D30" s="12"/>
      <c r="E30" s="12"/>
      <c r="F30" s="54"/>
      <c r="G30" s="12"/>
      <c r="H30" s="12"/>
      <c r="I30" s="12"/>
      <c r="J30" s="12"/>
      <c r="K30" s="12"/>
      <c r="L30" s="12"/>
      <c r="Q30" s="13"/>
    </row>
    <row r="31" spans="1:26" ht="13.5" thickBot="1">
      <c r="A31" s="2"/>
      <c r="B31" s="12"/>
      <c r="C31" s="12"/>
      <c r="D31" s="12"/>
      <c r="E31" s="12"/>
      <c r="F31" s="54"/>
      <c r="G31" s="12"/>
      <c r="H31" s="12"/>
      <c r="I31" s="12"/>
      <c r="J31" s="12"/>
      <c r="K31" s="12"/>
      <c r="L31" s="12"/>
      <c r="Q31" s="13"/>
    </row>
    <row r="32" spans="1:26" s="2" customFormat="1" ht="18.75" thickBot="1">
      <c r="B32" s="22">
        <v>6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1">
        <v>55</v>
      </c>
      <c r="N32" s="12"/>
      <c r="O32" s="12"/>
      <c r="P32" s="12"/>
      <c r="Q32" s="13"/>
      <c r="R32" s="12"/>
      <c r="S32" s="12"/>
      <c r="T32" s="12"/>
      <c r="U32" s="12"/>
      <c r="V32" s="1"/>
      <c r="W32" s="1"/>
      <c r="X32" s="1"/>
      <c r="Y32" s="1"/>
    </row>
    <row r="33" spans="1:25" s="2" customFormat="1" ht="13.5" thickBot="1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3"/>
      <c r="N33" s="57">
        <v>7.46</v>
      </c>
      <c r="O33" s="57">
        <v>1</v>
      </c>
      <c r="P33" s="57">
        <f>O33*N33</f>
        <v>7.46</v>
      </c>
      <c r="Q33" s="13"/>
      <c r="R33" s="12"/>
      <c r="S33" s="12"/>
      <c r="T33" s="12"/>
      <c r="U33" s="12"/>
      <c r="V33" s="1"/>
      <c r="W33" s="1"/>
      <c r="X33" s="1"/>
      <c r="Y33" s="1"/>
    </row>
    <row r="34" spans="1:25" ht="13.5" thickBot="1">
      <c r="A34" s="2" t="s">
        <v>36</v>
      </c>
      <c r="B34" s="29">
        <v>8</v>
      </c>
      <c r="C34" s="30">
        <v>23</v>
      </c>
      <c r="D34" s="30">
        <v>1</v>
      </c>
      <c r="E34" s="30">
        <f t="shared" ref="E34:E40" si="12">D34*C34</f>
        <v>23</v>
      </c>
      <c r="F34" s="31">
        <v>4.54</v>
      </c>
      <c r="G34" s="30">
        <f t="shared" ref="G34:G40" si="13">+F34*E34</f>
        <v>104.42</v>
      </c>
      <c r="H34" s="30">
        <f t="shared" ref="H34:H40" si="14">+G34/$G$2</f>
        <v>8.7016666666666662</v>
      </c>
      <c r="I34" s="30">
        <v>2</v>
      </c>
      <c r="J34" s="30">
        <v>2</v>
      </c>
      <c r="K34" s="30">
        <f t="shared" ref="K34:K40" si="15">+E34/J34</f>
        <v>11.5</v>
      </c>
      <c r="L34" s="32">
        <v>12</v>
      </c>
      <c r="M34" s="58"/>
      <c r="N34" s="57">
        <v>2.92</v>
      </c>
      <c r="O34" s="57">
        <v>11</v>
      </c>
      <c r="P34" s="57">
        <f>O34*N34</f>
        <v>32.119999999999997</v>
      </c>
      <c r="Q34" s="13"/>
    </row>
    <row r="35" spans="1:25" ht="13.5" thickBot="1">
      <c r="A35" s="2" t="s">
        <v>39</v>
      </c>
      <c r="B35" s="29">
        <v>8</v>
      </c>
      <c r="C35" s="30">
        <v>8</v>
      </c>
      <c r="D35" s="30">
        <v>26</v>
      </c>
      <c r="E35" s="30">
        <f t="shared" si="12"/>
        <v>208</v>
      </c>
      <c r="F35" s="31">
        <v>3.47</v>
      </c>
      <c r="G35" s="30">
        <f t="shared" si="13"/>
        <v>721.76</v>
      </c>
      <c r="H35" s="30">
        <f t="shared" si="14"/>
        <v>60.146666666666668</v>
      </c>
      <c r="I35" s="30">
        <v>3</v>
      </c>
      <c r="J35" s="30">
        <v>3</v>
      </c>
      <c r="K35" s="30">
        <f t="shared" si="15"/>
        <v>69.333333333333329</v>
      </c>
      <c r="L35" s="32">
        <v>70</v>
      </c>
      <c r="N35" s="50">
        <v>1.59</v>
      </c>
      <c r="O35" s="50">
        <v>69</v>
      </c>
      <c r="P35" s="50">
        <f>O35*N35</f>
        <v>109.71000000000001</v>
      </c>
      <c r="Q35" s="13"/>
    </row>
    <row r="36" spans="1:25" ht="13.5" thickBot="1">
      <c r="A36" s="2"/>
      <c r="B36" s="29"/>
      <c r="C36" s="30"/>
      <c r="D36" s="30"/>
      <c r="E36" s="30"/>
      <c r="F36" s="31"/>
      <c r="G36" s="30"/>
      <c r="H36" s="30"/>
      <c r="I36" s="30"/>
      <c r="J36" s="30"/>
      <c r="K36" s="30"/>
      <c r="L36" s="32"/>
      <c r="N36" s="53">
        <v>8.57</v>
      </c>
      <c r="O36" s="53">
        <v>1</v>
      </c>
      <c r="P36" s="53">
        <f>O36*N36</f>
        <v>8.57</v>
      </c>
      <c r="Q36" s="13"/>
    </row>
    <row r="37" spans="1:25" ht="13.5" thickBot="1">
      <c r="A37" s="2" t="s">
        <v>39</v>
      </c>
      <c r="B37" s="29">
        <v>8</v>
      </c>
      <c r="C37" s="30">
        <v>8</v>
      </c>
      <c r="D37" s="30">
        <v>26</v>
      </c>
      <c r="E37" s="30">
        <f t="shared" si="12"/>
        <v>208</v>
      </c>
      <c r="F37" s="31">
        <v>4.1500000000000004</v>
      </c>
      <c r="G37" s="30">
        <f t="shared" si="13"/>
        <v>863.2</v>
      </c>
      <c r="H37" s="30">
        <f t="shared" si="14"/>
        <v>71.933333333333337</v>
      </c>
      <c r="I37" s="30">
        <v>2</v>
      </c>
      <c r="J37" s="30">
        <v>2</v>
      </c>
      <c r="K37" s="30">
        <f t="shared" si="15"/>
        <v>104</v>
      </c>
      <c r="L37" s="32">
        <v>104</v>
      </c>
      <c r="M37" s="56"/>
      <c r="N37" s="12">
        <v>3.7</v>
      </c>
      <c r="O37" s="12">
        <v>104</v>
      </c>
      <c r="P37" s="12">
        <f>O37*N37</f>
        <v>384.8</v>
      </c>
      <c r="Q37" s="13"/>
    </row>
    <row r="38" spans="1:25" ht="13.5" thickBot="1">
      <c r="A38" s="2" t="s">
        <v>39</v>
      </c>
      <c r="B38" s="29">
        <v>8</v>
      </c>
      <c r="C38" s="30">
        <v>16</v>
      </c>
      <c r="D38" s="30">
        <f>26*2</f>
        <v>52</v>
      </c>
      <c r="E38" s="30">
        <f t="shared" si="12"/>
        <v>832</v>
      </c>
      <c r="F38" s="31">
        <v>1</v>
      </c>
      <c r="G38" s="30">
        <f t="shared" si="13"/>
        <v>832</v>
      </c>
      <c r="H38" s="30">
        <f t="shared" si="14"/>
        <v>69.333333333333329</v>
      </c>
      <c r="I38" s="30">
        <v>12</v>
      </c>
      <c r="J38" s="30">
        <v>12</v>
      </c>
      <c r="K38" s="30">
        <f t="shared" si="15"/>
        <v>69.333333333333329</v>
      </c>
      <c r="L38" s="32">
        <v>70</v>
      </c>
      <c r="M38" s="56"/>
      <c r="N38" s="12"/>
      <c r="O38" s="12"/>
      <c r="P38" s="12"/>
      <c r="Q38" s="13"/>
    </row>
    <row r="39" spans="1:25" ht="13.5" thickBot="1">
      <c r="A39" s="2" t="s">
        <v>39</v>
      </c>
      <c r="B39" s="29">
        <v>8</v>
      </c>
      <c r="C39" s="30">
        <v>6</v>
      </c>
      <c r="D39" s="30">
        <v>12</v>
      </c>
      <c r="E39" s="30">
        <f t="shared" si="12"/>
        <v>72</v>
      </c>
      <c r="F39" s="31">
        <v>1.29</v>
      </c>
      <c r="G39" s="30">
        <f t="shared" si="13"/>
        <v>92.88</v>
      </c>
      <c r="H39" s="30">
        <f t="shared" si="14"/>
        <v>7.7399999999999993</v>
      </c>
      <c r="I39" s="30">
        <f>+$G$2/F39</f>
        <v>9.3023255813953494</v>
      </c>
      <c r="J39" s="30">
        <v>9</v>
      </c>
      <c r="K39" s="30">
        <f t="shared" si="15"/>
        <v>8</v>
      </c>
      <c r="L39" s="32">
        <v>8</v>
      </c>
      <c r="M39" s="56"/>
      <c r="N39" s="50">
        <v>0.39</v>
      </c>
      <c r="O39" s="50">
        <v>8</v>
      </c>
      <c r="P39" s="50">
        <f>O39*N39</f>
        <v>3.12</v>
      </c>
      <c r="Q39" s="13"/>
    </row>
    <row r="40" spans="1:25" ht="13.5" thickBot="1">
      <c r="A40" s="2" t="s">
        <v>39</v>
      </c>
      <c r="B40" s="29">
        <v>8</v>
      </c>
      <c r="C40" s="30">
        <v>4</v>
      </c>
      <c r="D40" s="30">
        <v>12</v>
      </c>
      <c r="E40" s="30">
        <f t="shared" si="12"/>
        <v>48</v>
      </c>
      <c r="F40" s="31">
        <v>1</v>
      </c>
      <c r="G40" s="30">
        <f t="shared" si="13"/>
        <v>48</v>
      </c>
      <c r="H40" s="30">
        <f t="shared" si="14"/>
        <v>4</v>
      </c>
      <c r="I40" s="30">
        <v>4</v>
      </c>
      <c r="J40" s="30">
        <v>4</v>
      </c>
      <c r="K40" s="30">
        <f t="shared" si="15"/>
        <v>12</v>
      </c>
      <c r="L40" s="32">
        <v>12</v>
      </c>
      <c r="M40" s="56"/>
      <c r="N40" s="12"/>
      <c r="O40" s="12"/>
      <c r="P40" s="12"/>
      <c r="Q40" s="13"/>
    </row>
    <row r="41" spans="1:25" ht="13.5" thickBot="1">
      <c r="A41" s="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0">
        <f>SUM(L34:L40)</f>
        <v>276</v>
      </c>
      <c r="N41" s="12"/>
      <c r="O41" s="12"/>
      <c r="P41" s="12"/>
      <c r="Q41" s="13"/>
    </row>
    <row r="42" spans="1:25">
      <c r="A42" s="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>
        <v>8</v>
      </c>
      <c r="M42" s="56"/>
      <c r="N42" s="12"/>
      <c r="O42" s="12"/>
      <c r="P42" s="12"/>
      <c r="Q42" s="13"/>
    </row>
    <row r="43" spans="1:25">
      <c r="A43" s="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>
        <v>1</v>
      </c>
      <c r="M43" s="56"/>
      <c r="N43" s="12"/>
      <c r="O43" s="12"/>
      <c r="P43" s="12"/>
      <c r="Q43" s="13"/>
    </row>
    <row r="44" spans="1:25">
      <c r="A44" s="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>
        <v>2</v>
      </c>
      <c r="M44" s="56"/>
      <c r="N44" s="12"/>
      <c r="O44" s="12"/>
      <c r="P44" s="12"/>
      <c r="Q44" s="13"/>
    </row>
    <row r="45" spans="1:25">
      <c r="A45" s="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6"/>
      <c r="N45" s="12"/>
      <c r="O45" s="12"/>
      <c r="P45" s="12"/>
      <c r="Q45" s="13"/>
    </row>
    <row r="46" spans="1:25" ht="13.5" thickBot="1">
      <c r="A46" s="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56"/>
      <c r="N46" s="12"/>
      <c r="O46" s="12"/>
      <c r="P46" s="12"/>
      <c r="Q46" s="13"/>
    </row>
    <row r="47" spans="1:25" ht="18.75" thickBot="1">
      <c r="A47" s="2"/>
      <c r="B47" s="22">
        <v>8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1">
        <f>M41-L42-L43-L44</f>
        <v>265</v>
      </c>
      <c r="N47" s="12"/>
      <c r="O47" s="12"/>
      <c r="P47" s="12"/>
      <c r="Q47" s="13"/>
    </row>
    <row r="48" spans="1:25" s="2" customFormat="1" ht="13.5" thickBot="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3"/>
      <c r="N48" s="12"/>
      <c r="O48" s="12"/>
      <c r="P48" s="12"/>
      <c r="Q48" s="13"/>
      <c r="R48" s="12"/>
      <c r="S48" s="12"/>
      <c r="T48" s="12"/>
      <c r="U48" s="12"/>
      <c r="V48" s="1"/>
      <c r="W48" s="1"/>
      <c r="X48" s="1"/>
      <c r="Y48" s="1"/>
    </row>
    <row r="49" spans="1:25">
      <c r="A49" s="2" t="s">
        <v>36</v>
      </c>
      <c r="B49" s="29">
        <v>10</v>
      </c>
      <c r="C49" s="30">
        <v>26</v>
      </c>
      <c r="D49" s="30">
        <v>1</v>
      </c>
      <c r="E49" s="30">
        <f>D49*C49</f>
        <v>26</v>
      </c>
      <c r="F49" s="31">
        <v>5.3</v>
      </c>
      <c r="G49" s="30">
        <f>+F49*E49</f>
        <v>137.79999999999998</v>
      </c>
      <c r="H49" s="30">
        <f>+G49/$G$2</f>
        <v>11.483333333333333</v>
      </c>
      <c r="I49" s="30">
        <v>2</v>
      </c>
      <c r="J49" s="30">
        <v>2</v>
      </c>
      <c r="K49" s="30">
        <f>+E49/J49</f>
        <v>13</v>
      </c>
      <c r="L49" s="32">
        <v>13</v>
      </c>
      <c r="N49" s="53">
        <v>1.4</v>
      </c>
      <c r="O49" s="53">
        <v>13</v>
      </c>
      <c r="P49" s="53">
        <f>O49*N49</f>
        <v>18.2</v>
      </c>
      <c r="Q49" s="13"/>
    </row>
    <row r="50" spans="1:25" s="2" customFormat="1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3"/>
      <c r="N50" s="13"/>
      <c r="O50" s="13"/>
      <c r="P50" s="13"/>
      <c r="Q50" s="13"/>
      <c r="R50" s="12"/>
      <c r="S50" s="12"/>
      <c r="T50" s="12"/>
      <c r="U50" s="12"/>
      <c r="V50" s="1"/>
      <c r="W50" s="1"/>
      <c r="X50" s="1"/>
      <c r="Y50" s="1"/>
    </row>
    <row r="51" spans="1:25" s="2" customFormat="1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  <c r="N51" s="13"/>
      <c r="O51" s="13"/>
      <c r="P51" s="13"/>
      <c r="Q51" s="13"/>
      <c r="R51" s="12"/>
      <c r="S51" s="12"/>
      <c r="T51" s="12"/>
      <c r="U51" s="12"/>
      <c r="V51" s="1"/>
      <c r="W51" s="1"/>
      <c r="X51" s="1"/>
      <c r="Y51" s="1"/>
    </row>
    <row r="52" spans="1:25" s="2" customFormat="1" ht="13.5" thickBot="1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3"/>
      <c r="N52" s="13"/>
      <c r="O52" s="13"/>
      <c r="P52" s="13"/>
      <c r="Q52" s="13"/>
      <c r="R52" s="12"/>
      <c r="S52" s="12"/>
      <c r="T52" s="12"/>
      <c r="U52" s="12"/>
      <c r="V52" s="1"/>
      <c r="W52" s="1"/>
      <c r="X52" s="1"/>
      <c r="Y52" s="1"/>
    </row>
    <row r="53" spans="1:25" ht="18.75" thickBot="1">
      <c r="A53" s="2"/>
      <c r="B53" s="22">
        <v>10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1">
        <v>13</v>
      </c>
      <c r="N53" s="12"/>
      <c r="O53" s="12"/>
      <c r="P53" s="12"/>
      <c r="Q53" s="13"/>
    </row>
    <row r="54" spans="1:25" s="56" customFormat="1" ht="18">
      <c r="A54" s="12"/>
      <c r="B54" s="59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0"/>
      <c r="N54" s="12"/>
      <c r="O54" s="12"/>
      <c r="P54" s="12"/>
      <c r="Q54" s="55"/>
    </row>
    <row r="55" spans="1:25" ht="13.5" thickBot="1">
      <c r="N55" s="56"/>
      <c r="O55" s="56"/>
      <c r="P55" s="56"/>
      <c r="Q55" s="55"/>
    </row>
    <row r="56" spans="1:25" ht="13.5" thickBot="1">
      <c r="A56" s="2" t="s">
        <v>40</v>
      </c>
      <c r="B56" s="29">
        <v>12</v>
      </c>
      <c r="C56" s="30">
        <v>8</v>
      </c>
      <c r="D56" s="30">
        <v>1</v>
      </c>
      <c r="E56" s="30">
        <f>D56*C56</f>
        <v>8</v>
      </c>
      <c r="F56" s="31">
        <v>4.3499999999999996</v>
      </c>
      <c r="G56" s="30">
        <f>+F56*E56</f>
        <v>34.799999999999997</v>
      </c>
      <c r="H56" s="30">
        <f>+G56/$G$2</f>
        <v>2.9</v>
      </c>
      <c r="I56" s="30">
        <v>2</v>
      </c>
      <c r="J56" s="30">
        <v>2</v>
      </c>
      <c r="K56" s="30">
        <f>+E56/J56</f>
        <v>4</v>
      </c>
      <c r="L56" s="32">
        <v>4</v>
      </c>
      <c r="M56" s="13"/>
      <c r="N56" s="12">
        <v>3.3</v>
      </c>
      <c r="O56" s="12">
        <v>4</v>
      </c>
      <c r="P56" s="12">
        <f>O56*N56</f>
        <v>13.2</v>
      </c>
      <c r="Q56" s="55"/>
    </row>
    <row r="57" spans="1:25" ht="13.5" thickBot="1">
      <c r="A57" s="2" t="s">
        <v>41</v>
      </c>
      <c r="B57" s="29">
        <v>12</v>
      </c>
      <c r="C57" s="30">
        <v>4</v>
      </c>
      <c r="D57" s="30">
        <v>1</v>
      </c>
      <c r="E57" s="30">
        <f>D57*C57</f>
        <v>4</v>
      </c>
      <c r="F57" s="31">
        <v>7.98</v>
      </c>
      <c r="G57" s="30">
        <f>+F57*E57</f>
        <v>31.92</v>
      </c>
      <c r="H57" s="30">
        <f>+G57/$G$2</f>
        <v>2.66</v>
      </c>
      <c r="I57" s="30">
        <v>1</v>
      </c>
      <c r="J57" s="30">
        <v>1</v>
      </c>
      <c r="K57" s="30">
        <f>+E57/J57</f>
        <v>4</v>
      </c>
      <c r="L57" s="32">
        <v>4</v>
      </c>
      <c r="M57" s="13"/>
      <c r="N57" s="12">
        <v>4.0199999999999996</v>
      </c>
      <c r="O57" s="12">
        <v>4</v>
      </c>
      <c r="P57" s="12">
        <f>O57*N57</f>
        <v>16.079999999999998</v>
      </c>
      <c r="Q57" s="55"/>
    </row>
    <row r="58" spans="1:25" ht="13.5" thickBot="1">
      <c r="A58" s="2" t="s">
        <v>38</v>
      </c>
      <c r="B58" s="29">
        <v>12</v>
      </c>
      <c r="C58" s="30">
        <v>4</v>
      </c>
      <c r="D58" s="30">
        <v>1</v>
      </c>
      <c r="E58" s="30">
        <f>D58*C58</f>
        <v>4</v>
      </c>
      <c r="F58" s="31">
        <v>8.14</v>
      </c>
      <c r="G58" s="30">
        <f>+F58*E58</f>
        <v>32.56</v>
      </c>
      <c r="H58" s="30">
        <f>+G58/$G$2</f>
        <v>2.7133333333333334</v>
      </c>
      <c r="I58" s="30">
        <v>1</v>
      </c>
      <c r="J58" s="30">
        <v>1</v>
      </c>
      <c r="K58" s="30">
        <f>+E58/J58</f>
        <v>4</v>
      </c>
      <c r="L58" s="32">
        <v>4</v>
      </c>
      <c r="N58" s="12">
        <v>3.86</v>
      </c>
      <c r="O58" s="12">
        <v>4</v>
      </c>
      <c r="P58" s="12">
        <f>O58*N58</f>
        <v>15.44</v>
      </c>
      <c r="Q58" s="55"/>
    </row>
    <row r="59" spans="1:25" ht="13.5" thickBot="1">
      <c r="M59" s="20">
        <f>SUM(L56:L58)</f>
        <v>12</v>
      </c>
      <c r="N59" s="56"/>
      <c r="O59" s="56"/>
      <c r="P59" s="56"/>
      <c r="Q59" s="55"/>
    </row>
    <row r="60" spans="1:25">
      <c r="M60" s="13"/>
      <c r="N60" s="56"/>
      <c r="O60" s="56"/>
      <c r="P60" s="56"/>
      <c r="Q60" s="55"/>
    </row>
    <row r="61" spans="1:25" ht="13.5" thickBot="1">
      <c r="M61" s="13"/>
      <c r="N61" s="56"/>
      <c r="O61" s="56"/>
      <c r="P61" s="56"/>
      <c r="Q61" s="55"/>
    </row>
    <row r="62" spans="1:25" ht="18.75" thickBot="1">
      <c r="A62" s="2"/>
      <c r="B62" s="22">
        <v>12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1">
        <v>12</v>
      </c>
      <c r="N62" s="12"/>
      <c r="O62" s="12"/>
      <c r="P62" s="12"/>
      <c r="Q62" s="13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2"/>
      <c r="O63" s="12"/>
      <c r="P63" s="12"/>
      <c r="Q63" s="13"/>
    </row>
    <row r="64" spans="1:25" ht="13.5" thickBot="1">
      <c r="N64" s="56"/>
      <c r="O64" s="56"/>
      <c r="P64" s="56"/>
      <c r="Q64" s="55"/>
    </row>
    <row r="65" spans="1:26" ht="13.5" thickBot="1">
      <c r="A65" s="2" t="s">
        <v>29</v>
      </c>
      <c r="B65" s="29">
        <v>16</v>
      </c>
      <c r="C65" s="30">
        <v>6</v>
      </c>
      <c r="D65" s="30">
        <v>2</v>
      </c>
      <c r="E65" s="30">
        <f>D65*C65</f>
        <v>12</v>
      </c>
      <c r="F65" s="31">
        <v>4.25</v>
      </c>
      <c r="G65" s="30">
        <f t="shared" ref="G65:G71" si="16">+F65*E65</f>
        <v>51</v>
      </c>
      <c r="H65" s="30">
        <f t="shared" ref="H65:H71" si="17">+G65/$G$2</f>
        <v>4.25</v>
      </c>
      <c r="I65" s="30">
        <v>2</v>
      </c>
      <c r="J65" s="30">
        <v>2</v>
      </c>
      <c r="K65" s="30">
        <f t="shared" ref="K65:K71" si="18">+E65/J65</f>
        <v>6</v>
      </c>
      <c r="L65" s="32">
        <v>6</v>
      </c>
      <c r="N65" s="12">
        <v>3.5</v>
      </c>
      <c r="O65" s="12">
        <v>8</v>
      </c>
      <c r="P65" s="12">
        <f>O65*N65</f>
        <v>28</v>
      </c>
      <c r="Q65" s="55"/>
    </row>
    <row r="66" spans="1:26" ht="13.5" thickBot="1">
      <c r="A66" s="2" t="s">
        <v>42</v>
      </c>
      <c r="B66" s="29">
        <v>16</v>
      </c>
      <c r="C66" s="30">
        <v>8</v>
      </c>
      <c r="D66" s="30">
        <v>1</v>
      </c>
      <c r="E66" s="30">
        <f>D66*C66</f>
        <v>8</v>
      </c>
      <c r="F66" s="31">
        <v>5.45</v>
      </c>
      <c r="G66" s="30">
        <f t="shared" si="16"/>
        <v>43.6</v>
      </c>
      <c r="H66" s="30">
        <f t="shared" si="17"/>
        <v>3.6333333333333333</v>
      </c>
      <c r="I66" s="30">
        <v>2</v>
      </c>
      <c r="J66" s="30">
        <v>2</v>
      </c>
      <c r="K66" s="30">
        <f t="shared" si="18"/>
        <v>4</v>
      </c>
      <c r="L66" s="32">
        <v>4</v>
      </c>
      <c r="N66" s="12">
        <v>1.1000000000000001</v>
      </c>
      <c r="O66" s="12">
        <v>4</v>
      </c>
      <c r="P66" s="12">
        <f>O66*N66</f>
        <v>4.4000000000000004</v>
      </c>
      <c r="Q66" s="55"/>
    </row>
    <row r="67" spans="1:26" s="2" customFormat="1" ht="13.5" thickBot="1">
      <c r="A67" s="2" t="s">
        <v>34</v>
      </c>
      <c r="B67" s="29">
        <v>16</v>
      </c>
      <c r="C67" s="30">
        <v>8</v>
      </c>
      <c r="D67" s="30">
        <v>1</v>
      </c>
      <c r="E67" s="30">
        <f>+C67*D67</f>
        <v>8</v>
      </c>
      <c r="F67" s="31">
        <v>4.45</v>
      </c>
      <c r="G67" s="30">
        <f t="shared" si="16"/>
        <v>35.6</v>
      </c>
      <c r="H67" s="30">
        <f t="shared" si="17"/>
        <v>2.9666666666666668</v>
      </c>
      <c r="I67" s="30">
        <v>2</v>
      </c>
      <c r="J67" s="30">
        <v>2</v>
      </c>
      <c r="K67" s="30">
        <f t="shared" si="18"/>
        <v>4</v>
      </c>
      <c r="L67" s="32">
        <v>4</v>
      </c>
      <c r="M67" s="13"/>
      <c r="N67" s="12">
        <v>3.1</v>
      </c>
      <c r="O67" s="12">
        <v>4</v>
      </c>
      <c r="P67" s="12">
        <f>O67*N67</f>
        <v>12.4</v>
      </c>
      <c r="Q67" s="55"/>
      <c r="R67" s="12"/>
      <c r="S67" s="12"/>
      <c r="T67" s="12"/>
      <c r="U67" s="12"/>
      <c r="V67" s="1">
        <f>12-J67*F67</f>
        <v>3.0999999999999996</v>
      </c>
      <c r="W67" s="1">
        <f>+L67*V67</f>
        <v>12.399999999999999</v>
      </c>
      <c r="X67" s="1">
        <f>+L67-H67</f>
        <v>1.0333333333333332</v>
      </c>
      <c r="Y67" s="1">
        <f>+X67*$G$2</f>
        <v>12.399999999999999</v>
      </c>
      <c r="Z67" s="2">
        <f>+Y67/$Z$3</f>
        <v>1.0333333333333332</v>
      </c>
    </row>
    <row r="68" spans="1:26" ht="13.5" thickBot="1">
      <c r="A68" s="2" t="s">
        <v>36</v>
      </c>
      <c r="B68" s="29">
        <v>16</v>
      </c>
      <c r="C68" s="30">
        <v>4</v>
      </c>
      <c r="D68" s="30">
        <v>1</v>
      </c>
      <c r="E68" s="30">
        <f>D68*C68</f>
        <v>4</v>
      </c>
      <c r="F68" s="31">
        <v>5.65</v>
      </c>
      <c r="G68" s="30">
        <f t="shared" si="16"/>
        <v>22.6</v>
      </c>
      <c r="H68" s="30">
        <f t="shared" si="17"/>
        <v>1.8833333333333335</v>
      </c>
      <c r="I68" s="30">
        <v>2</v>
      </c>
      <c r="J68" s="30">
        <v>2</v>
      </c>
      <c r="K68" s="30">
        <f t="shared" si="18"/>
        <v>2</v>
      </c>
      <c r="L68" s="32">
        <v>2</v>
      </c>
      <c r="N68" s="12">
        <v>1.4</v>
      </c>
      <c r="O68" s="12">
        <v>13</v>
      </c>
      <c r="P68" s="12">
        <f>O68*N68</f>
        <v>18.2</v>
      </c>
      <c r="Q68" s="55"/>
    </row>
    <row r="69" spans="1:26" ht="13.5" thickBot="1">
      <c r="A69" s="2" t="s">
        <v>36</v>
      </c>
      <c r="B69" s="29">
        <v>16</v>
      </c>
      <c r="C69" s="30">
        <v>26</v>
      </c>
      <c r="D69" s="30">
        <v>1</v>
      </c>
      <c r="E69" s="30">
        <f>D69*C69</f>
        <v>26</v>
      </c>
      <c r="F69" s="31">
        <v>5.65</v>
      </c>
      <c r="G69" s="30">
        <f t="shared" si="16"/>
        <v>146.9</v>
      </c>
      <c r="H69" s="30">
        <f t="shared" si="17"/>
        <v>12.241666666666667</v>
      </c>
      <c r="I69" s="30">
        <v>2</v>
      </c>
      <c r="J69" s="30">
        <v>2</v>
      </c>
      <c r="K69" s="30">
        <f t="shared" si="18"/>
        <v>13</v>
      </c>
      <c r="L69" s="32">
        <v>13</v>
      </c>
      <c r="N69" s="12">
        <v>1.4</v>
      </c>
      <c r="O69" s="12">
        <v>13</v>
      </c>
      <c r="P69" s="12">
        <f>O69*N69</f>
        <v>18.2</v>
      </c>
      <c r="Q69" s="55"/>
    </row>
    <row r="70" spans="1:26" ht="13.5" thickBot="1">
      <c r="A70" s="2" t="s">
        <v>43</v>
      </c>
      <c r="B70" s="29">
        <v>16</v>
      </c>
      <c r="C70" s="30">
        <v>6</v>
      </c>
      <c r="D70" s="30">
        <v>1</v>
      </c>
      <c r="E70" s="30">
        <f>D70*C70</f>
        <v>6</v>
      </c>
      <c r="F70" s="31">
        <v>7.38</v>
      </c>
      <c r="G70" s="30">
        <f t="shared" si="16"/>
        <v>44.28</v>
      </c>
      <c r="H70" s="30">
        <f t="shared" si="17"/>
        <v>3.69</v>
      </c>
      <c r="I70" s="30">
        <v>1</v>
      </c>
      <c r="J70" s="30">
        <v>1</v>
      </c>
      <c r="K70" s="30">
        <f t="shared" si="18"/>
        <v>6</v>
      </c>
      <c r="L70" s="32">
        <v>6</v>
      </c>
      <c r="N70" s="12"/>
      <c r="O70" s="12"/>
      <c r="P70" s="12"/>
      <c r="Q70" s="55"/>
    </row>
    <row r="71" spans="1:26" ht="13.5" thickBot="1">
      <c r="A71" s="2" t="s">
        <v>44</v>
      </c>
      <c r="B71" s="29">
        <v>16</v>
      </c>
      <c r="C71" s="30">
        <v>4</v>
      </c>
      <c r="D71" s="30">
        <v>1</v>
      </c>
      <c r="E71" s="30">
        <f>D71*C71</f>
        <v>4</v>
      </c>
      <c r="F71" s="31">
        <v>6.44</v>
      </c>
      <c r="G71" s="30">
        <f t="shared" si="16"/>
        <v>25.76</v>
      </c>
      <c r="H71" s="30">
        <f t="shared" si="17"/>
        <v>2.1466666666666669</v>
      </c>
      <c r="I71" s="30">
        <v>1</v>
      </c>
      <c r="J71" s="30">
        <v>1</v>
      </c>
      <c r="K71" s="30">
        <f t="shared" si="18"/>
        <v>4</v>
      </c>
      <c r="L71" s="32">
        <v>4</v>
      </c>
      <c r="N71" s="12"/>
      <c r="O71" s="12"/>
      <c r="P71" s="12"/>
      <c r="Q71" s="56"/>
    </row>
    <row r="72" spans="1:26" ht="13.5" thickBot="1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>
        <f>SUM(L65:L71)</f>
        <v>39</v>
      </c>
      <c r="N72" s="12"/>
      <c r="O72" s="12"/>
      <c r="P72" s="12">
        <f>SUM(P65:P71)</f>
        <v>81.2</v>
      </c>
      <c r="Q72" s="56"/>
    </row>
    <row r="73" spans="1:26">
      <c r="A73" s="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>
        <v>3</v>
      </c>
      <c r="M73" s="13"/>
      <c r="N73" s="12"/>
      <c r="O73" s="12"/>
      <c r="P73" s="12"/>
      <c r="Q73" s="56"/>
    </row>
    <row r="74" spans="1:26">
      <c r="A74" s="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3"/>
      <c r="N74" s="12"/>
      <c r="O74" s="12"/>
      <c r="P74" s="12"/>
      <c r="Q74" s="56"/>
    </row>
    <row r="75" spans="1:26" ht="13.5" thickBot="1">
      <c r="A75" s="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N75" s="12"/>
      <c r="O75" s="12"/>
      <c r="P75" s="12"/>
      <c r="Q75" s="56"/>
    </row>
    <row r="76" spans="1:26" ht="18.75" thickBot="1">
      <c r="A76" s="2"/>
      <c r="B76" s="22">
        <v>16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1">
        <v>36</v>
      </c>
      <c r="N76" s="12"/>
      <c r="O76" s="12"/>
      <c r="P76" s="12"/>
      <c r="Q76" s="13"/>
    </row>
    <row r="77" spans="1:26" ht="13.5" thickBot="1">
      <c r="N77" s="56"/>
      <c r="O77" s="56"/>
      <c r="P77" s="56"/>
      <c r="Q77" s="56"/>
    </row>
    <row r="78" spans="1:26" s="2" customFormat="1" ht="13.5" thickBot="1">
      <c r="A78" s="2" t="s">
        <v>45</v>
      </c>
      <c r="B78" s="29">
        <v>20</v>
      </c>
      <c r="C78" s="30">
        <v>6</v>
      </c>
      <c r="D78" s="30">
        <v>1</v>
      </c>
      <c r="E78" s="30">
        <f>+C78*D78</f>
        <v>6</v>
      </c>
      <c r="F78" s="31">
        <v>4.45</v>
      </c>
      <c r="G78" s="30">
        <f>+F78*E78</f>
        <v>26.700000000000003</v>
      </c>
      <c r="H78" s="30">
        <f>+G78/$G$2</f>
        <v>2.2250000000000001</v>
      </c>
      <c r="I78" s="30">
        <v>2</v>
      </c>
      <c r="J78" s="30">
        <v>2</v>
      </c>
      <c r="K78" s="30">
        <f>+E78/J78</f>
        <v>3</v>
      </c>
      <c r="L78" s="32">
        <v>3</v>
      </c>
      <c r="M78" s="12"/>
      <c r="N78" s="12">
        <v>3.1</v>
      </c>
      <c r="O78" s="12">
        <v>3</v>
      </c>
      <c r="P78" s="12">
        <f>O78*N78</f>
        <v>9.3000000000000007</v>
      </c>
      <c r="Q78" s="12"/>
      <c r="R78" s="12"/>
      <c r="S78" s="12"/>
      <c r="T78" s="12"/>
      <c r="U78" s="12"/>
      <c r="V78" s="2">
        <f>+L78*12/F78-E78</f>
        <v>2.0898876404494384</v>
      </c>
      <c r="W78" s="2">
        <f>+V78*F78</f>
        <v>9.3000000000000007</v>
      </c>
      <c r="X78" s="2">
        <f>+L78-H78</f>
        <v>0.77499999999999991</v>
      </c>
      <c r="Y78" s="2">
        <f>+X78*$G$2</f>
        <v>9.2999999999999989</v>
      </c>
      <c r="Z78" s="2">
        <f>+Y78/$Z$3</f>
        <v>0.77499999999999991</v>
      </c>
    </row>
    <row r="79" spans="1:26" ht="13.5" thickBot="1">
      <c r="A79" s="2" t="s">
        <v>46</v>
      </c>
      <c r="B79" s="29">
        <v>20</v>
      </c>
      <c r="C79" s="30">
        <v>8</v>
      </c>
      <c r="D79" s="30">
        <v>2</v>
      </c>
      <c r="E79" s="30">
        <f>D79*C79</f>
        <v>16</v>
      </c>
      <c r="F79" s="31">
        <v>5.3</v>
      </c>
      <c r="G79" s="30">
        <f>+F79*E79</f>
        <v>84.8</v>
      </c>
      <c r="H79" s="30">
        <f>+G79/$G$2</f>
        <v>7.0666666666666664</v>
      </c>
      <c r="I79" s="30">
        <v>2</v>
      </c>
      <c r="J79" s="30">
        <v>2</v>
      </c>
      <c r="K79" s="30">
        <f>+E79/J79</f>
        <v>8</v>
      </c>
      <c r="L79" s="32">
        <v>8</v>
      </c>
      <c r="N79" s="12">
        <v>1.4</v>
      </c>
      <c r="O79" s="12">
        <v>8</v>
      </c>
      <c r="P79" s="12">
        <f>O79*N79</f>
        <v>11.2</v>
      </c>
      <c r="Q79" s="56"/>
    </row>
    <row r="80" spans="1:26" s="2" customFormat="1" ht="13.5" thickBot="1">
      <c r="A80" s="2" t="s">
        <v>47</v>
      </c>
      <c r="B80" s="29">
        <v>20</v>
      </c>
      <c r="C80" s="30">
        <v>8</v>
      </c>
      <c r="D80" s="30">
        <v>1</v>
      </c>
      <c r="E80" s="30">
        <f>+C80*D80</f>
        <v>8</v>
      </c>
      <c r="F80" s="31">
        <v>4.45</v>
      </c>
      <c r="G80" s="30">
        <f>+F80*E80</f>
        <v>35.6</v>
      </c>
      <c r="H80" s="30">
        <f>+G80/$G$2</f>
        <v>2.9666666666666668</v>
      </c>
      <c r="I80" s="30">
        <v>2</v>
      </c>
      <c r="J80" s="30">
        <v>2</v>
      </c>
      <c r="K80" s="30">
        <f>+E80/J80</f>
        <v>4</v>
      </c>
      <c r="L80" s="32">
        <v>4</v>
      </c>
      <c r="M80" s="12"/>
      <c r="N80" s="54">
        <v>3.1</v>
      </c>
      <c r="O80" s="54">
        <v>4</v>
      </c>
      <c r="P80" s="54">
        <f>O80*N80</f>
        <v>12.4</v>
      </c>
      <c r="Q80" s="12"/>
      <c r="R80" s="12"/>
      <c r="S80" s="12"/>
      <c r="T80" s="12"/>
      <c r="U80" s="12"/>
      <c r="V80" s="2">
        <f>+L80*12/F80-E80</f>
        <v>2.786516853932584</v>
      </c>
      <c r="W80" s="2">
        <f>+V80*F80</f>
        <v>12.399999999999999</v>
      </c>
      <c r="X80" s="2">
        <f>+L80-H80</f>
        <v>1.0333333333333332</v>
      </c>
      <c r="Y80" s="2">
        <f>+X80*$G$2</f>
        <v>12.399999999999999</v>
      </c>
      <c r="Z80" s="2">
        <f>+Y80/$Z$3</f>
        <v>1.0333333333333332</v>
      </c>
    </row>
    <row r="81" spans="1:26" s="2" customFormat="1" ht="13.5" thickBot="1">
      <c r="A81" s="2" t="s">
        <v>48</v>
      </c>
      <c r="B81" s="29">
        <v>20</v>
      </c>
      <c r="C81" s="30">
        <v>8</v>
      </c>
      <c r="D81" s="30">
        <v>1</v>
      </c>
      <c r="E81" s="30">
        <f>+C81*D81</f>
        <v>8</v>
      </c>
      <c r="F81" s="31">
        <v>5.85</v>
      </c>
      <c r="G81" s="30">
        <f>+F81*E81</f>
        <v>46.8</v>
      </c>
      <c r="H81" s="30">
        <f>+G81/$G$2</f>
        <v>3.9</v>
      </c>
      <c r="I81" s="30">
        <v>2</v>
      </c>
      <c r="J81" s="30">
        <v>2</v>
      </c>
      <c r="K81" s="30">
        <f>+E81/J81</f>
        <v>4</v>
      </c>
      <c r="L81" s="32">
        <v>4</v>
      </c>
      <c r="M81" s="12"/>
      <c r="N81" s="12"/>
      <c r="O81" s="12"/>
      <c r="P81" s="12"/>
      <c r="Q81" s="12"/>
      <c r="R81" s="12"/>
      <c r="S81" s="12"/>
      <c r="T81" s="12"/>
      <c r="U81" s="12"/>
      <c r="V81" s="2">
        <f>+L81*12/F81-E81</f>
        <v>0.20512820512820618</v>
      </c>
      <c r="W81" s="2">
        <f>+V81*F81</f>
        <v>1.200000000000006</v>
      </c>
      <c r="X81" s="2">
        <f>+L81-H81</f>
        <v>0.10000000000000009</v>
      </c>
      <c r="Y81" s="2">
        <f>+X81*$G$2</f>
        <v>1.2000000000000011</v>
      </c>
      <c r="Z81" s="2">
        <f>+Y81/$Z$3</f>
        <v>0.10000000000000009</v>
      </c>
    </row>
    <row r="82" spans="1:26" s="2" customFormat="1" ht="13.5" thickBot="1">
      <c r="A82" s="2" t="s">
        <v>49</v>
      </c>
      <c r="B82" s="29">
        <v>20</v>
      </c>
      <c r="C82" s="30">
        <v>6</v>
      </c>
      <c r="D82" s="30">
        <v>1</v>
      </c>
      <c r="E82" s="30">
        <f>+C82*D82</f>
        <v>6</v>
      </c>
      <c r="F82" s="31">
        <v>4.3499999999999996</v>
      </c>
      <c r="G82" s="30">
        <f>+F82*E82</f>
        <v>26.099999999999998</v>
      </c>
      <c r="H82" s="30">
        <f>+G82/$G$2</f>
        <v>2.1749999999999998</v>
      </c>
      <c r="I82" s="30">
        <v>2</v>
      </c>
      <c r="J82" s="30">
        <v>2</v>
      </c>
      <c r="K82" s="30">
        <f>+E82/J82</f>
        <v>3</v>
      </c>
      <c r="L82" s="32">
        <v>3</v>
      </c>
      <c r="M82" s="12"/>
      <c r="N82" s="12">
        <v>3.3</v>
      </c>
      <c r="O82" s="12">
        <v>3</v>
      </c>
      <c r="P82" s="12">
        <f>O82*N82</f>
        <v>9.8999999999999986</v>
      </c>
      <c r="Q82" s="12"/>
      <c r="R82" s="12"/>
      <c r="S82" s="12"/>
      <c r="T82" s="12"/>
      <c r="U82" s="12"/>
      <c r="V82" s="2">
        <f>+L82*12/F82-E82</f>
        <v>2.2758620689655178</v>
      </c>
      <c r="W82" s="2">
        <f>+V82*F82</f>
        <v>9.9000000000000021</v>
      </c>
      <c r="X82" s="2">
        <f>+L82-H82</f>
        <v>0.82500000000000018</v>
      </c>
      <c r="Y82" s="2">
        <f>+X82*$G$2</f>
        <v>9.9000000000000021</v>
      </c>
      <c r="Z82" s="2">
        <f>+Y82/$Z$3</f>
        <v>0.82500000000000018</v>
      </c>
    </row>
    <row r="83" spans="1:26" ht="13.5" thickBot="1">
      <c r="M83" s="20">
        <f>SUM(L77:L82)</f>
        <v>22</v>
      </c>
      <c r="N83" s="56"/>
      <c r="O83" s="56"/>
      <c r="P83" s="56"/>
      <c r="Q83" s="56"/>
    </row>
    <row r="84" spans="1:26">
      <c r="L84" s="61">
        <v>2</v>
      </c>
      <c r="N84" s="56"/>
      <c r="O84" s="56"/>
      <c r="P84" s="56"/>
      <c r="Q84" s="56"/>
    </row>
    <row r="85" spans="1:26">
      <c r="L85" s="61">
        <v>1</v>
      </c>
      <c r="N85" s="56"/>
      <c r="O85" s="56"/>
      <c r="P85" s="56"/>
      <c r="Q85" s="56"/>
    </row>
    <row r="86" spans="1:26" ht="13.5" thickBot="1">
      <c r="P86" s="12">
        <f>SUM(P78:P85)</f>
        <v>42.8</v>
      </c>
    </row>
    <row r="87" spans="1:26" ht="18.75" thickBot="1">
      <c r="B87" s="22">
        <v>20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1">
        <v>19</v>
      </c>
    </row>
  </sheetData>
  <mergeCells count="10">
    <mergeCell ref="I2:I3"/>
    <mergeCell ref="J2:J3"/>
    <mergeCell ref="K2:K3"/>
    <mergeCell ref="L2:L3"/>
    <mergeCell ref="B2:B3"/>
    <mergeCell ref="C2:C3"/>
    <mergeCell ref="D2:D3"/>
    <mergeCell ref="E2:E3"/>
    <mergeCell ref="F2:F3"/>
    <mergeCell ref="H2:H3"/>
  </mergeCells>
  <phoneticPr fontId="1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37C7-3930-42D0-A0D5-05A93E72C1C7}">
  <dimension ref="A1:Z340"/>
  <sheetViews>
    <sheetView topLeftCell="A55" workbookViewId="0">
      <selection activeCell="M302" sqref="M302"/>
    </sheetView>
  </sheetViews>
  <sheetFormatPr defaultRowHeight="12.75"/>
  <cols>
    <col min="1" max="7" width="11.42578125" customWidth="1"/>
    <col min="8" max="8" width="15.7109375" bestFit="1" customWidth="1"/>
    <col min="9" max="9" width="13.42578125" customWidth="1"/>
    <col min="10" max="256" width="11.42578125" customWidth="1"/>
  </cols>
  <sheetData>
    <row r="1" spans="1:26" ht="13.5" thickBot="1"/>
    <row r="2" spans="1:26" s="2" customFormat="1">
      <c r="B2" s="84" t="s">
        <v>0</v>
      </c>
      <c r="C2" s="86" t="s">
        <v>1</v>
      </c>
      <c r="D2" s="86" t="s">
        <v>2</v>
      </c>
      <c r="E2" s="88" t="s">
        <v>3</v>
      </c>
      <c r="F2" s="92" t="s">
        <v>4</v>
      </c>
      <c r="G2" s="82">
        <v>12</v>
      </c>
      <c r="H2" s="88" t="s">
        <v>5</v>
      </c>
      <c r="I2" s="88" t="s">
        <v>6</v>
      </c>
      <c r="J2" s="94" t="s">
        <v>6</v>
      </c>
      <c r="K2" s="88" t="s">
        <v>7</v>
      </c>
      <c r="L2" s="90" t="s">
        <v>8</v>
      </c>
      <c r="M2" s="13"/>
      <c r="N2" s="13"/>
      <c r="O2" s="13"/>
      <c r="P2" s="13"/>
      <c r="Q2" s="13"/>
      <c r="R2" s="13"/>
      <c r="S2" s="13"/>
      <c r="T2" s="13"/>
      <c r="U2" s="13"/>
    </row>
    <row r="3" spans="1:26" s="2" customFormat="1" ht="26.25" thickBot="1">
      <c r="B3" s="85"/>
      <c r="C3" s="87"/>
      <c r="D3" s="87"/>
      <c r="E3" s="89"/>
      <c r="F3" s="93"/>
      <c r="G3" s="83" t="s">
        <v>9</v>
      </c>
      <c r="H3" s="89"/>
      <c r="I3" s="89"/>
      <c r="J3" s="95"/>
      <c r="K3" s="89"/>
      <c r="L3" s="91"/>
      <c r="M3" s="13"/>
      <c r="N3" s="13" t="s">
        <v>10</v>
      </c>
      <c r="O3" s="13" t="s">
        <v>11</v>
      </c>
      <c r="P3" s="13" t="s">
        <v>12</v>
      </c>
      <c r="Q3" s="13"/>
      <c r="R3" s="13"/>
      <c r="S3" s="13"/>
      <c r="T3" s="13"/>
      <c r="U3" s="13"/>
      <c r="W3" s="2" t="s">
        <v>13</v>
      </c>
      <c r="Y3" s="2" t="s">
        <v>13</v>
      </c>
      <c r="Z3" s="2">
        <v>12</v>
      </c>
    </row>
    <row r="4" spans="1:26">
      <c r="Q4" s="13"/>
    </row>
    <row r="5" spans="1:26" s="2" customFormat="1" hidden="1">
      <c r="A5" s="2" t="s">
        <v>27</v>
      </c>
      <c r="B5" s="29">
        <v>6</v>
      </c>
      <c r="C5" s="30">
        <v>12</v>
      </c>
      <c r="D5" s="30">
        <v>1</v>
      </c>
      <c r="E5" s="30">
        <f t="shared" ref="E5:E18" si="0">+C5*D5</f>
        <v>12</v>
      </c>
      <c r="F5" s="31">
        <v>1.96</v>
      </c>
      <c r="G5" s="30">
        <f t="shared" ref="G5:G20" si="1">+F5*E5</f>
        <v>23.52</v>
      </c>
      <c r="H5" s="30">
        <f t="shared" ref="H5:H18" si="2">+G5/$G$2</f>
        <v>1.96</v>
      </c>
      <c r="I5" s="30">
        <f t="shared" ref="I5:I20" si="3">+$G$2/F5</f>
        <v>6.1224489795918364</v>
      </c>
      <c r="J5" s="30">
        <v>6</v>
      </c>
      <c r="K5" s="30">
        <f t="shared" ref="K5:K22" si="4">+E5/J5</f>
        <v>2</v>
      </c>
      <c r="L5" s="32">
        <v>2</v>
      </c>
      <c r="M5" s="13"/>
      <c r="N5"/>
      <c r="O5"/>
      <c r="P5"/>
      <c r="Q5" s="13"/>
      <c r="R5" s="12"/>
      <c r="S5" s="12"/>
      <c r="T5" s="12"/>
      <c r="U5" s="12"/>
      <c r="V5" s="1">
        <f>12-J5*F5</f>
        <v>0.24000000000000021</v>
      </c>
      <c r="W5" s="1">
        <f>+L5*V5</f>
        <v>0.48000000000000043</v>
      </c>
      <c r="X5" s="1">
        <f>+L5-H5</f>
        <v>4.0000000000000036E-2</v>
      </c>
      <c r="Y5" s="1">
        <f>+X5*$G$2</f>
        <v>0.48000000000000043</v>
      </c>
      <c r="Z5" s="2">
        <f>+Y5/$Z$3</f>
        <v>4.0000000000000036E-2</v>
      </c>
    </row>
    <row r="6" spans="1:26" hidden="1">
      <c r="A6" s="2" t="s">
        <v>28</v>
      </c>
      <c r="B6" s="29">
        <v>6</v>
      </c>
      <c r="C6" s="30">
        <v>18</v>
      </c>
      <c r="D6" s="30">
        <v>2</v>
      </c>
      <c r="E6" s="30">
        <f t="shared" si="0"/>
        <v>36</v>
      </c>
      <c r="F6" s="31">
        <f>0.74+0.74+0.36+0.36</f>
        <v>2.1999999999999997</v>
      </c>
      <c r="G6" s="30">
        <f t="shared" si="1"/>
        <v>79.199999999999989</v>
      </c>
      <c r="H6" s="30">
        <f t="shared" si="2"/>
        <v>6.5999999999999988</v>
      </c>
      <c r="I6" s="30">
        <f t="shared" si="3"/>
        <v>5.454545454545455</v>
      </c>
      <c r="J6" s="30">
        <v>5</v>
      </c>
      <c r="K6" s="30">
        <f t="shared" si="4"/>
        <v>7.2</v>
      </c>
      <c r="L6" s="32">
        <v>7</v>
      </c>
      <c r="N6" s="18">
        <v>1</v>
      </c>
      <c r="O6" s="18">
        <v>7</v>
      </c>
      <c r="P6" s="18">
        <f t="shared" ref="P6:P14" si="5">O6*N6</f>
        <v>7</v>
      </c>
      <c r="Q6" s="13"/>
    </row>
    <row r="7" spans="1:26" hidden="1">
      <c r="A7" s="2" t="s">
        <v>29</v>
      </c>
      <c r="B7" s="29">
        <v>6</v>
      </c>
      <c r="C7" s="30">
        <v>17</v>
      </c>
      <c r="D7" s="30">
        <v>2</v>
      </c>
      <c r="E7" s="30">
        <f t="shared" si="0"/>
        <v>34</v>
      </c>
      <c r="F7" s="31">
        <f>0.61+0.61+0.3+0.3</f>
        <v>1.82</v>
      </c>
      <c r="G7" s="30">
        <f t="shared" si="1"/>
        <v>61.88</v>
      </c>
      <c r="H7" s="30">
        <f t="shared" si="2"/>
        <v>5.1566666666666672</v>
      </c>
      <c r="I7" s="30">
        <f t="shared" si="3"/>
        <v>6.5934065934065931</v>
      </c>
      <c r="J7" s="30">
        <v>6</v>
      </c>
      <c r="K7" s="30">
        <f t="shared" si="4"/>
        <v>5.666666666666667</v>
      </c>
      <c r="L7" s="32">
        <v>6</v>
      </c>
      <c r="N7" s="12">
        <v>1.8</v>
      </c>
      <c r="O7" s="12">
        <v>6</v>
      </c>
      <c r="P7" s="12">
        <f t="shared" si="5"/>
        <v>10.8</v>
      </c>
      <c r="Q7" s="13"/>
    </row>
    <row r="8" spans="1:26" s="2" customFormat="1" hidden="1">
      <c r="A8" s="2" t="s">
        <v>30</v>
      </c>
      <c r="B8" s="29">
        <v>6</v>
      </c>
      <c r="C8" s="30">
        <v>25</v>
      </c>
      <c r="D8" s="30">
        <v>1</v>
      </c>
      <c r="E8" s="30">
        <f t="shared" si="0"/>
        <v>25</v>
      </c>
      <c r="F8" s="31">
        <v>1.26</v>
      </c>
      <c r="G8" s="30">
        <f t="shared" si="1"/>
        <v>31.5</v>
      </c>
      <c r="H8" s="30">
        <f t="shared" si="2"/>
        <v>2.625</v>
      </c>
      <c r="I8" s="30">
        <f t="shared" si="3"/>
        <v>9.5238095238095237</v>
      </c>
      <c r="J8" s="30">
        <v>9</v>
      </c>
      <c r="K8" s="30">
        <f t="shared" si="4"/>
        <v>2.7777777777777777</v>
      </c>
      <c r="L8" s="32">
        <v>3</v>
      </c>
      <c r="M8" s="13"/>
      <c r="N8" s="15">
        <v>0.66</v>
      </c>
      <c r="O8" s="15">
        <v>2</v>
      </c>
      <c r="P8" s="15">
        <f t="shared" si="5"/>
        <v>1.32</v>
      </c>
      <c r="Q8" s="13"/>
      <c r="R8" s="12"/>
      <c r="S8" s="12"/>
      <c r="T8" s="12"/>
      <c r="U8" s="12"/>
      <c r="V8" s="1">
        <f t="shared" ref="V8:V18" si="6">12-J8*F8</f>
        <v>0.66000000000000014</v>
      </c>
      <c r="W8" s="1">
        <f t="shared" ref="W8:W18" si="7">+L8*V8</f>
        <v>1.9800000000000004</v>
      </c>
      <c r="X8" s="1">
        <f t="shared" ref="X8:X18" si="8">+L8-H8</f>
        <v>0.375</v>
      </c>
      <c r="Y8" s="1">
        <f t="shared" ref="Y8:Y18" si="9">+X8*$G$2</f>
        <v>4.5</v>
      </c>
      <c r="Z8" s="2">
        <f t="shared" ref="Z8:Z18" si="10">+Y8/$Z$3</f>
        <v>0.375</v>
      </c>
    </row>
    <row r="9" spans="1:26" s="2" customFormat="1" hidden="1">
      <c r="A9" s="2" t="s">
        <v>30</v>
      </c>
      <c r="B9" s="29">
        <v>6</v>
      </c>
      <c r="C9" s="30">
        <v>25</v>
      </c>
      <c r="D9" s="30">
        <v>1</v>
      </c>
      <c r="E9" s="30">
        <f t="shared" si="0"/>
        <v>25</v>
      </c>
      <c r="F9" s="31">
        <v>0.94</v>
      </c>
      <c r="G9" s="30">
        <f t="shared" si="1"/>
        <v>23.5</v>
      </c>
      <c r="H9" s="30">
        <f t="shared" si="2"/>
        <v>1.9583333333333333</v>
      </c>
      <c r="I9" s="30">
        <f t="shared" si="3"/>
        <v>12.765957446808512</v>
      </c>
      <c r="J9" s="30">
        <v>12</v>
      </c>
      <c r="K9" s="30">
        <f t="shared" si="4"/>
        <v>2.0833333333333335</v>
      </c>
      <c r="L9" s="32">
        <v>2</v>
      </c>
      <c r="M9" s="13"/>
      <c r="N9" s="15">
        <v>0.72</v>
      </c>
      <c r="O9" s="15">
        <v>2</v>
      </c>
      <c r="P9" s="15">
        <f t="shared" si="5"/>
        <v>1.44</v>
      </c>
      <c r="Q9" s="13"/>
      <c r="R9" s="12"/>
      <c r="S9" s="12"/>
      <c r="T9" s="12"/>
      <c r="U9" s="12"/>
      <c r="V9" s="1">
        <f t="shared" si="6"/>
        <v>0.72000000000000064</v>
      </c>
      <c r="W9" s="1">
        <f t="shared" si="7"/>
        <v>1.4400000000000013</v>
      </c>
      <c r="X9" s="1">
        <f t="shared" si="8"/>
        <v>4.1666666666666741E-2</v>
      </c>
      <c r="Y9" s="1">
        <f t="shared" si="9"/>
        <v>0.50000000000000089</v>
      </c>
      <c r="Z9" s="2">
        <f t="shared" si="10"/>
        <v>4.1666666666666741E-2</v>
      </c>
    </row>
    <row r="10" spans="1:26" s="2" customFormat="1" hidden="1">
      <c r="A10" s="2" t="s">
        <v>31</v>
      </c>
      <c r="B10" s="29">
        <v>6</v>
      </c>
      <c r="C10" s="30">
        <v>14</v>
      </c>
      <c r="D10" s="30">
        <v>1</v>
      </c>
      <c r="E10" s="30">
        <f t="shared" si="0"/>
        <v>14</v>
      </c>
      <c r="F10" s="31">
        <v>1.28</v>
      </c>
      <c r="G10" s="30">
        <f t="shared" si="1"/>
        <v>17.920000000000002</v>
      </c>
      <c r="H10" s="30">
        <f t="shared" si="2"/>
        <v>1.4933333333333334</v>
      </c>
      <c r="I10" s="30">
        <f t="shared" si="3"/>
        <v>9.375</v>
      </c>
      <c r="J10" s="30">
        <v>9</v>
      </c>
      <c r="K10" s="30">
        <f t="shared" si="4"/>
        <v>1.5555555555555556</v>
      </c>
      <c r="L10" s="32">
        <v>2</v>
      </c>
      <c r="M10" s="13"/>
      <c r="N10" s="15">
        <v>0.48</v>
      </c>
      <c r="O10" s="15">
        <v>9</v>
      </c>
      <c r="P10" s="15">
        <f t="shared" si="5"/>
        <v>4.32</v>
      </c>
      <c r="Q10" s="13"/>
      <c r="R10" s="12"/>
      <c r="S10" s="12"/>
      <c r="T10" s="12"/>
      <c r="U10" s="12"/>
      <c r="V10" s="1">
        <f t="shared" si="6"/>
        <v>0.48000000000000043</v>
      </c>
      <c r="W10" s="1">
        <f t="shared" si="7"/>
        <v>0.96000000000000085</v>
      </c>
      <c r="X10" s="1">
        <f t="shared" si="8"/>
        <v>0.5066666666666666</v>
      </c>
      <c r="Y10" s="1">
        <f t="shared" si="9"/>
        <v>6.0799999999999992</v>
      </c>
      <c r="Z10" s="2">
        <f t="shared" si="10"/>
        <v>0.5066666666666666</v>
      </c>
    </row>
    <row r="11" spans="1:26" s="2" customFormat="1" hidden="1">
      <c r="A11" s="2" t="s">
        <v>31</v>
      </c>
      <c r="B11" s="29">
        <v>6</v>
      </c>
      <c r="C11" s="30">
        <v>28</v>
      </c>
      <c r="D11" s="30">
        <v>1</v>
      </c>
      <c r="E11" s="30">
        <f t="shared" si="0"/>
        <v>28</v>
      </c>
      <c r="F11" s="31">
        <v>0.49</v>
      </c>
      <c r="G11" s="30">
        <f t="shared" si="1"/>
        <v>13.719999999999999</v>
      </c>
      <c r="H11" s="30">
        <f t="shared" si="2"/>
        <v>1.1433333333333333</v>
      </c>
      <c r="I11" s="30">
        <f t="shared" si="3"/>
        <v>24.489795918367346</v>
      </c>
      <c r="J11" s="30">
        <v>24</v>
      </c>
      <c r="K11" s="30">
        <f t="shared" si="4"/>
        <v>1.1666666666666667</v>
      </c>
      <c r="L11" s="32">
        <v>2</v>
      </c>
      <c r="M11" s="13"/>
      <c r="N11" s="15">
        <v>10</v>
      </c>
      <c r="O11" s="15">
        <v>1</v>
      </c>
      <c r="P11" s="15">
        <f t="shared" si="5"/>
        <v>10</v>
      </c>
      <c r="Q11" s="13"/>
      <c r="R11" s="12"/>
      <c r="S11" s="12"/>
      <c r="T11" s="12"/>
      <c r="U11" s="12"/>
      <c r="V11" s="1">
        <f t="shared" si="6"/>
        <v>0.24000000000000021</v>
      </c>
      <c r="W11" s="1">
        <f t="shared" si="7"/>
        <v>0.48000000000000043</v>
      </c>
      <c r="X11" s="1">
        <f t="shared" si="8"/>
        <v>0.85666666666666669</v>
      </c>
      <c r="Y11" s="1">
        <f t="shared" si="9"/>
        <v>10.280000000000001</v>
      </c>
      <c r="Z11" s="2">
        <f t="shared" si="10"/>
        <v>0.8566666666666668</v>
      </c>
    </row>
    <row r="12" spans="1:26" s="2" customFormat="1" hidden="1">
      <c r="A12" s="2" t="s">
        <v>32</v>
      </c>
      <c r="B12" s="29">
        <v>6</v>
      </c>
      <c r="C12" s="30">
        <v>25</v>
      </c>
      <c r="D12" s="30">
        <v>1</v>
      </c>
      <c r="E12" s="30">
        <f t="shared" si="0"/>
        <v>25</v>
      </c>
      <c r="F12" s="31">
        <v>1.52</v>
      </c>
      <c r="G12" s="30">
        <f t="shared" si="1"/>
        <v>38</v>
      </c>
      <c r="H12" s="30">
        <f t="shared" si="2"/>
        <v>3.1666666666666665</v>
      </c>
      <c r="I12" s="30">
        <f t="shared" si="3"/>
        <v>7.8947368421052628</v>
      </c>
      <c r="J12" s="30">
        <v>7</v>
      </c>
      <c r="K12" s="30">
        <f t="shared" si="4"/>
        <v>3.5714285714285716</v>
      </c>
      <c r="L12" s="32">
        <v>4</v>
      </c>
      <c r="M12" s="13"/>
      <c r="N12" s="15">
        <v>1.36</v>
      </c>
      <c r="O12" s="15">
        <v>6</v>
      </c>
      <c r="P12" s="15">
        <f t="shared" si="5"/>
        <v>8.16</v>
      </c>
      <c r="Q12" s="13"/>
      <c r="R12" s="12"/>
      <c r="S12" s="12"/>
      <c r="T12" s="12"/>
      <c r="U12" s="12"/>
      <c r="V12" s="1">
        <f t="shared" si="6"/>
        <v>1.3599999999999994</v>
      </c>
      <c r="W12" s="1">
        <f t="shared" si="7"/>
        <v>5.4399999999999977</v>
      </c>
      <c r="X12" s="1">
        <f t="shared" si="8"/>
        <v>0.83333333333333348</v>
      </c>
      <c r="Y12" s="1">
        <f t="shared" si="9"/>
        <v>10.000000000000002</v>
      </c>
      <c r="Z12" s="2">
        <f t="shared" si="10"/>
        <v>0.83333333333333348</v>
      </c>
    </row>
    <row r="13" spans="1:26" s="2" customFormat="1" hidden="1">
      <c r="A13" s="2" t="s">
        <v>32</v>
      </c>
      <c r="B13" s="29">
        <v>6</v>
      </c>
      <c r="C13" s="30">
        <v>25</v>
      </c>
      <c r="D13" s="30">
        <v>1</v>
      </c>
      <c r="E13" s="30">
        <f t="shared" si="0"/>
        <v>25</v>
      </c>
      <c r="F13" s="31">
        <v>0.8</v>
      </c>
      <c r="G13" s="30">
        <f t="shared" si="1"/>
        <v>20</v>
      </c>
      <c r="H13" s="30">
        <f t="shared" si="2"/>
        <v>1.6666666666666667</v>
      </c>
      <c r="I13" s="30">
        <f t="shared" si="3"/>
        <v>15</v>
      </c>
      <c r="J13" s="30">
        <v>15</v>
      </c>
      <c r="K13" s="30">
        <f t="shared" si="4"/>
        <v>1.6666666666666667</v>
      </c>
      <c r="L13" s="32">
        <v>2</v>
      </c>
      <c r="M13" s="13"/>
      <c r="N13" s="18">
        <v>5.92</v>
      </c>
      <c r="O13" s="18">
        <v>1</v>
      </c>
      <c r="P13" s="18">
        <f t="shared" si="5"/>
        <v>5.92</v>
      </c>
      <c r="Q13" s="13"/>
      <c r="R13" s="12"/>
      <c r="S13" s="12"/>
      <c r="T13" s="12"/>
      <c r="U13" s="12"/>
      <c r="V13" s="1">
        <f t="shared" si="6"/>
        <v>0</v>
      </c>
      <c r="W13" s="1">
        <f t="shared" si="7"/>
        <v>0</v>
      </c>
      <c r="X13" s="1">
        <f t="shared" si="8"/>
        <v>0.33333333333333326</v>
      </c>
      <c r="Y13" s="1">
        <f t="shared" si="9"/>
        <v>3.9999999999999991</v>
      </c>
      <c r="Z13" s="2">
        <f t="shared" si="10"/>
        <v>0.33333333333333326</v>
      </c>
    </row>
    <row r="14" spans="1:26" s="2" customFormat="1" hidden="1">
      <c r="A14" s="2" t="s">
        <v>33</v>
      </c>
      <c r="B14" s="29">
        <v>6</v>
      </c>
      <c r="C14" s="30">
        <v>26</v>
      </c>
      <c r="D14" s="30">
        <v>1</v>
      </c>
      <c r="E14" s="30">
        <f t="shared" si="0"/>
        <v>26</v>
      </c>
      <c r="F14" s="31">
        <v>1.72</v>
      </c>
      <c r="G14" s="30">
        <f t="shared" si="1"/>
        <v>44.72</v>
      </c>
      <c r="H14" s="30">
        <f t="shared" si="2"/>
        <v>3.7266666666666666</v>
      </c>
      <c r="I14" s="30">
        <f t="shared" si="3"/>
        <v>6.9767441860465116</v>
      </c>
      <c r="J14" s="30">
        <v>7</v>
      </c>
      <c r="K14" s="30">
        <f t="shared" si="4"/>
        <v>3.7142857142857144</v>
      </c>
      <c r="L14" s="32">
        <v>4</v>
      </c>
      <c r="M14" s="13"/>
      <c r="N14" s="15">
        <v>3.4</v>
      </c>
      <c r="O14" s="15">
        <v>1</v>
      </c>
      <c r="P14" s="15">
        <f t="shared" si="5"/>
        <v>3.4</v>
      </c>
      <c r="Q14" s="13"/>
      <c r="R14" s="12"/>
      <c r="S14" s="12"/>
      <c r="T14" s="12"/>
      <c r="U14" s="12"/>
      <c r="V14" s="1">
        <f t="shared" si="6"/>
        <v>-3.9999999999999147E-2</v>
      </c>
      <c r="W14" s="1">
        <f t="shared" si="7"/>
        <v>-0.15999999999999659</v>
      </c>
      <c r="X14" s="1">
        <f t="shared" si="8"/>
        <v>0.27333333333333343</v>
      </c>
      <c r="Y14" s="1">
        <f t="shared" si="9"/>
        <v>3.2800000000000011</v>
      </c>
      <c r="Z14" s="2">
        <f t="shared" si="10"/>
        <v>0.27333333333333343</v>
      </c>
    </row>
    <row r="15" spans="1:26" s="2" customFormat="1" hidden="1">
      <c r="A15" s="2" t="s">
        <v>33</v>
      </c>
      <c r="B15" s="29">
        <v>6</v>
      </c>
      <c r="C15" s="30">
        <v>26</v>
      </c>
      <c r="D15" s="30">
        <v>1</v>
      </c>
      <c r="E15" s="30">
        <f t="shared" si="0"/>
        <v>26</v>
      </c>
      <c r="F15" s="31">
        <v>0.9</v>
      </c>
      <c r="G15" s="30">
        <f t="shared" si="1"/>
        <v>23.400000000000002</v>
      </c>
      <c r="H15" s="30">
        <f t="shared" si="2"/>
        <v>1.9500000000000002</v>
      </c>
      <c r="I15" s="30">
        <f t="shared" si="3"/>
        <v>13.333333333333332</v>
      </c>
      <c r="J15" s="30">
        <v>13</v>
      </c>
      <c r="K15" s="30">
        <f t="shared" si="4"/>
        <v>2</v>
      </c>
      <c r="L15" s="32">
        <v>2</v>
      </c>
      <c r="M15" s="13"/>
      <c r="N15" s="12"/>
      <c r="O15" s="12"/>
      <c r="P15" s="12"/>
      <c r="Q15" s="13"/>
      <c r="R15" s="12"/>
      <c r="S15" s="12"/>
      <c r="T15" s="12"/>
      <c r="U15" s="12"/>
      <c r="V15" s="1">
        <f t="shared" si="6"/>
        <v>0.29999999999999893</v>
      </c>
      <c r="W15" s="1">
        <f t="shared" si="7"/>
        <v>0.59999999999999787</v>
      </c>
      <c r="X15" s="1">
        <f t="shared" si="8"/>
        <v>4.9999999999999822E-2</v>
      </c>
      <c r="Y15" s="1">
        <f t="shared" si="9"/>
        <v>0.59999999999999787</v>
      </c>
      <c r="Z15" s="2">
        <f t="shared" si="10"/>
        <v>4.9999999999999822E-2</v>
      </c>
    </row>
    <row r="16" spans="1:26" s="2" customFormat="1" ht="15" hidden="1" customHeight="1">
      <c r="A16" s="2" t="s">
        <v>34</v>
      </c>
      <c r="B16" s="29">
        <v>6</v>
      </c>
      <c r="C16" s="30">
        <v>25</v>
      </c>
      <c r="D16" s="30">
        <v>1</v>
      </c>
      <c r="E16" s="30">
        <f t="shared" si="0"/>
        <v>25</v>
      </c>
      <c r="F16" s="31">
        <v>1.86</v>
      </c>
      <c r="G16" s="30">
        <f t="shared" si="1"/>
        <v>46.5</v>
      </c>
      <c r="H16" s="30">
        <f t="shared" si="2"/>
        <v>3.875</v>
      </c>
      <c r="I16" s="30">
        <f t="shared" si="3"/>
        <v>6.4516129032258061</v>
      </c>
      <c r="J16" s="30">
        <v>6</v>
      </c>
      <c r="K16" s="30">
        <f t="shared" si="4"/>
        <v>4.166666666666667</v>
      </c>
      <c r="L16" s="32">
        <v>4</v>
      </c>
      <c r="M16" s="13"/>
      <c r="N16" s="12"/>
      <c r="O16" s="12"/>
      <c r="P16" s="12"/>
      <c r="Q16" s="13"/>
      <c r="R16" s="12"/>
      <c r="S16" s="12"/>
      <c r="T16" s="12"/>
      <c r="U16" s="12"/>
      <c r="V16" s="1">
        <f t="shared" si="6"/>
        <v>0.83999999999999986</v>
      </c>
      <c r="W16" s="1">
        <f t="shared" si="7"/>
        <v>3.3599999999999994</v>
      </c>
      <c r="X16" s="1">
        <f t="shared" si="8"/>
        <v>0.125</v>
      </c>
      <c r="Y16" s="1">
        <f t="shared" si="9"/>
        <v>1.5</v>
      </c>
      <c r="Z16" s="2">
        <f t="shared" si="10"/>
        <v>0.125</v>
      </c>
    </row>
    <row r="17" spans="1:26" s="2" customFormat="1" hidden="1">
      <c r="A17" s="2" t="s">
        <v>34</v>
      </c>
      <c r="B17" s="29">
        <v>6</v>
      </c>
      <c r="C17" s="30">
        <v>25</v>
      </c>
      <c r="D17" s="30">
        <v>1</v>
      </c>
      <c r="E17" s="30">
        <f t="shared" si="0"/>
        <v>25</v>
      </c>
      <c r="F17" s="31">
        <v>0.94</v>
      </c>
      <c r="G17" s="30">
        <f t="shared" si="1"/>
        <v>23.5</v>
      </c>
      <c r="H17" s="30">
        <f t="shared" si="2"/>
        <v>1.9583333333333333</v>
      </c>
      <c r="I17" s="30">
        <f t="shared" si="3"/>
        <v>12.765957446808512</v>
      </c>
      <c r="J17" s="30">
        <v>12</v>
      </c>
      <c r="K17" s="30">
        <f t="shared" si="4"/>
        <v>2.0833333333333335</v>
      </c>
      <c r="L17" s="32">
        <v>2</v>
      </c>
      <c r="M17" s="13"/>
      <c r="N17" s="12"/>
      <c r="O17" s="12"/>
      <c r="P17" s="12"/>
      <c r="Q17" s="13"/>
      <c r="R17" s="12"/>
      <c r="S17" s="12"/>
      <c r="T17" s="12"/>
      <c r="U17" s="12"/>
      <c r="V17" s="1">
        <f t="shared" si="6"/>
        <v>0.72000000000000064</v>
      </c>
      <c r="W17" s="1">
        <f t="shared" si="7"/>
        <v>1.4400000000000013</v>
      </c>
      <c r="X17" s="1">
        <f t="shared" si="8"/>
        <v>4.1666666666666741E-2</v>
      </c>
      <c r="Y17" s="1">
        <f t="shared" si="9"/>
        <v>0.50000000000000089</v>
      </c>
      <c r="Z17" s="2">
        <f t="shared" si="10"/>
        <v>4.1666666666666741E-2</v>
      </c>
    </row>
    <row r="18" spans="1:26" s="2" customFormat="1" hidden="1">
      <c r="A18" s="2" t="s">
        <v>35</v>
      </c>
      <c r="B18" s="29">
        <v>6</v>
      </c>
      <c r="C18" s="30">
        <v>15</v>
      </c>
      <c r="D18" s="30">
        <v>2</v>
      </c>
      <c r="E18" s="30">
        <f t="shared" si="0"/>
        <v>30</v>
      </c>
      <c r="F18" s="31">
        <v>1.78</v>
      </c>
      <c r="G18" s="30">
        <f t="shared" si="1"/>
        <v>53.4</v>
      </c>
      <c r="H18" s="30">
        <f t="shared" si="2"/>
        <v>4.45</v>
      </c>
      <c r="I18" s="30">
        <f t="shared" si="3"/>
        <v>6.7415730337078648</v>
      </c>
      <c r="J18" s="30">
        <v>6</v>
      </c>
      <c r="K18" s="30">
        <f t="shared" si="4"/>
        <v>5</v>
      </c>
      <c r="L18" s="32">
        <v>5</v>
      </c>
      <c r="M18" s="13"/>
      <c r="N18" s="12">
        <v>1.32</v>
      </c>
      <c r="O18" s="12">
        <v>5</v>
      </c>
      <c r="P18" s="12">
        <f t="shared" ref="P18:P23" si="11">O18*N18</f>
        <v>6.6000000000000005</v>
      </c>
      <c r="Q18" s="13"/>
      <c r="R18" s="12"/>
      <c r="S18" s="12"/>
      <c r="T18" s="12"/>
      <c r="U18" s="12"/>
      <c r="V18" s="1">
        <f t="shared" si="6"/>
        <v>1.3200000000000003</v>
      </c>
      <c r="W18" s="1">
        <f t="shared" si="7"/>
        <v>6.6000000000000014</v>
      </c>
      <c r="X18" s="1">
        <f t="shared" si="8"/>
        <v>0.54999999999999982</v>
      </c>
      <c r="Y18" s="1">
        <f t="shared" si="9"/>
        <v>6.5999999999999979</v>
      </c>
      <c r="Z18" s="2">
        <f t="shared" si="10"/>
        <v>0.54999999999999982</v>
      </c>
    </row>
    <row r="19" spans="1:26" hidden="1">
      <c r="A19" s="2" t="s">
        <v>36</v>
      </c>
      <c r="B19" s="29">
        <v>6</v>
      </c>
      <c r="C19" s="30">
        <v>6</v>
      </c>
      <c r="D19" s="30">
        <v>1</v>
      </c>
      <c r="E19" s="30">
        <v>6</v>
      </c>
      <c r="F19" s="31">
        <v>0.24</v>
      </c>
      <c r="G19" s="30">
        <f t="shared" si="1"/>
        <v>1.44</v>
      </c>
      <c r="H19" s="30">
        <f>+G19/$G$2</f>
        <v>0.12</v>
      </c>
      <c r="I19" s="30">
        <v>1</v>
      </c>
      <c r="J19" s="30">
        <v>1</v>
      </c>
      <c r="K19" s="30">
        <v>1</v>
      </c>
      <c r="L19" s="32">
        <v>1</v>
      </c>
      <c r="N19" s="15">
        <v>10.56</v>
      </c>
      <c r="O19" s="15">
        <v>1</v>
      </c>
      <c r="P19" s="15">
        <f t="shared" si="11"/>
        <v>10.56</v>
      </c>
      <c r="Q19" s="13"/>
    </row>
    <row r="20" spans="1:26" hidden="1">
      <c r="A20" s="2" t="s">
        <v>36</v>
      </c>
      <c r="B20" s="29">
        <v>6</v>
      </c>
      <c r="C20" s="30">
        <v>23</v>
      </c>
      <c r="D20" s="30">
        <v>1</v>
      </c>
      <c r="E20" s="30">
        <f>+C20*D20</f>
        <v>23</v>
      </c>
      <c r="F20" s="31">
        <v>0.6</v>
      </c>
      <c r="G20" s="30">
        <f t="shared" si="1"/>
        <v>13.799999999999999</v>
      </c>
      <c r="H20" s="30">
        <f>+G20/$G$2</f>
        <v>1.1499999999999999</v>
      </c>
      <c r="I20" s="30">
        <f t="shared" si="3"/>
        <v>20</v>
      </c>
      <c r="J20" s="30">
        <v>20</v>
      </c>
      <c r="K20" s="30">
        <f t="shared" si="4"/>
        <v>1.1499999999999999</v>
      </c>
      <c r="L20" s="32">
        <v>2</v>
      </c>
      <c r="N20" s="53">
        <v>1.4</v>
      </c>
      <c r="O20" s="53">
        <v>13</v>
      </c>
      <c r="P20" s="53">
        <f t="shared" si="11"/>
        <v>18.2</v>
      </c>
      <c r="Q20" s="13"/>
    </row>
    <row r="21" spans="1:26" hidden="1">
      <c r="A21" s="2" t="s">
        <v>37</v>
      </c>
      <c r="B21" s="29">
        <v>6</v>
      </c>
      <c r="C21" s="30">
        <v>36</v>
      </c>
      <c r="D21" s="30">
        <v>1</v>
      </c>
      <c r="E21" s="30">
        <f>+C21*D21</f>
        <v>36</v>
      </c>
      <c r="F21" s="31">
        <v>1.44</v>
      </c>
      <c r="G21" s="30">
        <f>+F21*E21</f>
        <v>51.839999999999996</v>
      </c>
      <c r="H21" s="30">
        <f>+G21/$G$2</f>
        <v>4.3199999999999994</v>
      </c>
      <c r="I21" s="30">
        <f>+$G$2/F21</f>
        <v>8.3333333333333339</v>
      </c>
      <c r="J21" s="30">
        <v>8</v>
      </c>
      <c r="K21" s="30">
        <f>+E21/J21</f>
        <v>4.5</v>
      </c>
      <c r="L21" s="32">
        <v>5</v>
      </c>
      <c r="N21" s="15">
        <v>10.199999999999999</v>
      </c>
      <c r="O21" s="15">
        <v>1</v>
      </c>
      <c r="P21" s="15">
        <f t="shared" si="11"/>
        <v>10.199999999999999</v>
      </c>
      <c r="Q21" s="13"/>
    </row>
    <row r="22" spans="1:26" hidden="1">
      <c r="A22" s="2" t="s">
        <v>38</v>
      </c>
      <c r="B22" s="29">
        <v>6</v>
      </c>
      <c r="C22" s="30">
        <v>44</v>
      </c>
      <c r="D22" s="30">
        <v>1</v>
      </c>
      <c r="E22" s="30">
        <f>+C22*D22</f>
        <v>44</v>
      </c>
      <c r="F22" s="31">
        <v>1.1200000000000001</v>
      </c>
      <c r="G22" s="30">
        <f>+F22*E22</f>
        <v>49.28</v>
      </c>
      <c r="H22" s="30">
        <f>+G22/$G$2</f>
        <v>4.1066666666666665</v>
      </c>
      <c r="I22" s="30">
        <f>+$G$2/F22</f>
        <v>10.714285714285714</v>
      </c>
      <c r="J22" s="30">
        <v>10</v>
      </c>
      <c r="K22" s="30">
        <f t="shared" si="4"/>
        <v>4.4000000000000004</v>
      </c>
      <c r="L22" s="32">
        <v>5</v>
      </c>
      <c r="N22" s="53">
        <v>0.8</v>
      </c>
      <c r="O22" s="53">
        <v>4</v>
      </c>
      <c r="P22" s="53">
        <f t="shared" si="11"/>
        <v>3.2</v>
      </c>
      <c r="Q22" s="13"/>
    </row>
    <row r="23" spans="1:26" ht="13.5" thickBot="1">
      <c r="A23" s="2"/>
      <c r="B23" s="12"/>
      <c r="C23" s="12"/>
      <c r="D23" s="12"/>
      <c r="E23" s="12"/>
      <c r="F23" s="54"/>
      <c r="G23" s="12"/>
      <c r="H23" s="12"/>
      <c r="I23" s="12"/>
      <c r="J23" s="12"/>
      <c r="K23" s="12"/>
      <c r="L23" s="12"/>
      <c r="N23" s="53">
        <v>7.52</v>
      </c>
      <c r="O23" s="53">
        <v>1</v>
      </c>
      <c r="P23" s="53">
        <f t="shared" si="11"/>
        <v>7.52</v>
      </c>
      <c r="Q23" s="13"/>
    </row>
    <row r="24" spans="1:26" ht="13.5" thickBot="1">
      <c r="A24" s="2" t="s">
        <v>50</v>
      </c>
      <c r="B24" s="29">
        <v>6</v>
      </c>
      <c r="C24" s="30">
        <v>1</v>
      </c>
      <c r="D24" s="30">
        <v>32</v>
      </c>
      <c r="E24" s="30">
        <f t="shared" ref="E24:E30" si="12">D24*C24</f>
        <v>32</v>
      </c>
      <c r="F24" s="31">
        <v>1.42</v>
      </c>
      <c r="G24" s="30">
        <f t="shared" ref="G24:G30" si="13">+F24*E24</f>
        <v>45.44</v>
      </c>
      <c r="H24" s="30">
        <f t="shared" ref="H24:H91" si="14">+G24/$G$2</f>
        <v>3.7866666666666666</v>
      </c>
      <c r="I24" s="30">
        <v>4</v>
      </c>
      <c r="J24" s="30">
        <v>4</v>
      </c>
      <c r="K24" s="30">
        <v>4</v>
      </c>
      <c r="L24" s="32">
        <v>4</v>
      </c>
      <c r="M24" s="20">
        <f>SUM(L24:L132)</f>
        <v>310</v>
      </c>
      <c r="O24" s="53">
        <f>SUM(O6:O23)</f>
        <v>60</v>
      </c>
      <c r="P24" s="53">
        <f>SUM(P6:P23)</f>
        <v>108.64000000000001</v>
      </c>
      <c r="Q24" s="13"/>
    </row>
    <row r="25" spans="1:26" ht="13.5" thickBot="1">
      <c r="A25" s="2" t="s">
        <v>51</v>
      </c>
      <c r="B25" s="29">
        <v>6</v>
      </c>
      <c r="C25" s="30">
        <v>5</v>
      </c>
      <c r="D25" s="30">
        <v>1</v>
      </c>
      <c r="E25" s="30">
        <f t="shared" si="12"/>
        <v>5</v>
      </c>
      <c r="F25" s="31">
        <v>0.82</v>
      </c>
      <c r="G25" s="30">
        <f t="shared" si="13"/>
        <v>4.0999999999999996</v>
      </c>
      <c r="H25" s="30">
        <f t="shared" si="14"/>
        <v>0.34166666666666662</v>
      </c>
      <c r="I25" s="30"/>
      <c r="J25" s="30"/>
      <c r="K25" s="30"/>
      <c r="L25" s="32"/>
      <c r="Q25" s="13"/>
    </row>
    <row r="26" spans="1:26" ht="13.5" thickBot="1">
      <c r="A26" s="2" t="s">
        <v>52</v>
      </c>
      <c r="B26" s="29">
        <v>6</v>
      </c>
      <c r="C26" s="30">
        <v>19</v>
      </c>
      <c r="D26" s="30">
        <v>1</v>
      </c>
      <c r="E26" s="30">
        <f t="shared" si="12"/>
        <v>19</v>
      </c>
      <c r="F26" s="31">
        <v>1.42</v>
      </c>
      <c r="G26" s="30">
        <f t="shared" si="13"/>
        <v>26.979999999999997</v>
      </c>
      <c r="H26" s="30">
        <f t="shared" si="14"/>
        <v>2.2483333333333331</v>
      </c>
      <c r="I26" s="30">
        <v>3</v>
      </c>
      <c r="J26" s="30"/>
      <c r="K26" s="30"/>
      <c r="L26" s="32">
        <v>3</v>
      </c>
      <c r="Q26" s="13"/>
    </row>
    <row r="27" spans="1:26" ht="13.5" thickBot="1">
      <c r="A27" s="2" t="s">
        <v>53</v>
      </c>
      <c r="B27" s="29">
        <v>6</v>
      </c>
      <c r="C27" s="30">
        <v>9</v>
      </c>
      <c r="D27" s="30">
        <v>1</v>
      </c>
      <c r="E27" s="30">
        <f t="shared" si="12"/>
        <v>9</v>
      </c>
      <c r="F27" s="31">
        <v>1.42</v>
      </c>
      <c r="G27" s="30">
        <f t="shared" si="13"/>
        <v>12.78</v>
      </c>
      <c r="H27" s="30">
        <f t="shared" si="14"/>
        <v>1.0649999999999999</v>
      </c>
      <c r="I27" s="30">
        <v>1</v>
      </c>
      <c r="J27" s="30"/>
      <c r="K27" s="30"/>
      <c r="L27" s="32">
        <v>1</v>
      </c>
      <c r="Q27" s="13"/>
    </row>
    <row r="28" spans="1:26" ht="13.5" thickBot="1">
      <c r="A28" s="2" t="s">
        <v>54</v>
      </c>
      <c r="B28" s="29">
        <v>6</v>
      </c>
      <c r="C28" s="30">
        <v>7</v>
      </c>
      <c r="D28" s="30">
        <v>1</v>
      </c>
      <c r="E28" s="30">
        <f t="shared" si="12"/>
        <v>7</v>
      </c>
      <c r="F28" s="31">
        <v>1.42</v>
      </c>
      <c r="G28" s="30">
        <f t="shared" si="13"/>
        <v>9.94</v>
      </c>
      <c r="H28" s="30">
        <f t="shared" si="14"/>
        <v>0.82833333333333325</v>
      </c>
      <c r="I28" s="30">
        <v>1</v>
      </c>
      <c r="J28" s="30"/>
      <c r="K28" s="30"/>
      <c r="L28" s="32">
        <v>1</v>
      </c>
      <c r="Q28" s="13"/>
    </row>
    <row r="29" spans="1:26" ht="13.5" thickBot="1">
      <c r="A29" s="1" t="s">
        <v>55</v>
      </c>
      <c r="B29" s="29">
        <v>6</v>
      </c>
      <c r="C29" s="30">
        <v>6</v>
      </c>
      <c r="D29" s="30">
        <v>1</v>
      </c>
      <c r="E29" s="30">
        <f t="shared" si="12"/>
        <v>6</v>
      </c>
      <c r="F29" s="31">
        <v>1.02</v>
      </c>
      <c r="G29" s="30">
        <f t="shared" si="13"/>
        <v>6.12</v>
      </c>
      <c r="H29" s="30">
        <f t="shared" si="14"/>
        <v>0.51</v>
      </c>
      <c r="I29" s="30"/>
      <c r="J29" s="30"/>
      <c r="K29" s="30"/>
      <c r="L29" s="32"/>
      <c r="Q29" s="13"/>
    </row>
    <row r="30" spans="1:26" ht="13.5" thickBot="1">
      <c r="A30" s="1" t="s">
        <v>56</v>
      </c>
      <c r="B30" s="29">
        <v>6</v>
      </c>
      <c r="C30" s="30">
        <v>7</v>
      </c>
      <c r="D30" s="30">
        <v>1</v>
      </c>
      <c r="E30" s="30">
        <f t="shared" si="12"/>
        <v>7</v>
      </c>
      <c r="F30" s="31">
        <v>1.42</v>
      </c>
      <c r="G30" s="30">
        <f t="shared" si="13"/>
        <v>9.94</v>
      </c>
      <c r="H30" s="30">
        <f t="shared" si="14"/>
        <v>0.82833333333333325</v>
      </c>
      <c r="I30" s="30">
        <v>1</v>
      </c>
      <c r="J30" s="30"/>
      <c r="K30" s="30"/>
      <c r="L30" s="32">
        <v>1</v>
      </c>
      <c r="Q30" s="13"/>
    </row>
    <row r="31" spans="1:26" ht="13.5" thickBot="1">
      <c r="A31" s="1" t="s">
        <v>56</v>
      </c>
      <c r="B31" s="29">
        <v>6</v>
      </c>
      <c r="C31" s="30">
        <v>4</v>
      </c>
      <c r="D31" s="30">
        <v>1</v>
      </c>
      <c r="E31" s="30">
        <f t="shared" ref="E31:E50" si="15">D31*C31</f>
        <v>4</v>
      </c>
      <c r="F31" s="31">
        <v>6.85</v>
      </c>
      <c r="G31" s="30">
        <f t="shared" ref="G31:G49" si="16">+F31*E31</f>
        <v>27.4</v>
      </c>
      <c r="H31" s="30">
        <f t="shared" si="14"/>
        <v>2.2833333333333332</v>
      </c>
      <c r="I31" s="30">
        <v>3</v>
      </c>
      <c r="J31" s="30"/>
      <c r="K31" s="30"/>
      <c r="L31" s="32">
        <v>3</v>
      </c>
      <c r="Q31" s="13"/>
    </row>
    <row r="32" spans="1:26" ht="13.5" thickBot="1">
      <c r="A32" s="1" t="s">
        <v>56</v>
      </c>
      <c r="B32" s="29">
        <v>6</v>
      </c>
      <c r="C32" s="30">
        <v>22</v>
      </c>
      <c r="D32" s="30">
        <v>1</v>
      </c>
      <c r="E32" s="30">
        <f t="shared" si="15"/>
        <v>22</v>
      </c>
      <c r="F32" s="31">
        <v>2.02</v>
      </c>
      <c r="G32" s="30">
        <f t="shared" si="16"/>
        <v>44.44</v>
      </c>
      <c r="H32" s="30">
        <f t="shared" si="14"/>
        <v>3.7033333333333331</v>
      </c>
      <c r="I32" s="30">
        <v>4</v>
      </c>
      <c r="J32" s="30"/>
      <c r="K32" s="30"/>
      <c r="L32" s="32">
        <v>4</v>
      </c>
      <c r="Q32" s="13"/>
    </row>
    <row r="33" spans="1:17" ht="13.5" thickBot="1">
      <c r="A33" s="1" t="s">
        <v>57</v>
      </c>
      <c r="B33" s="29">
        <v>6</v>
      </c>
      <c r="C33" s="30">
        <v>11</v>
      </c>
      <c r="D33" s="30">
        <v>1</v>
      </c>
      <c r="E33" s="30">
        <f t="shared" si="15"/>
        <v>11</v>
      </c>
      <c r="F33" s="31">
        <v>1.02</v>
      </c>
      <c r="G33" s="30">
        <f t="shared" si="16"/>
        <v>11.22</v>
      </c>
      <c r="H33" s="30">
        <f t="shared" si="14"/>
        <v>0.93500000000000005</v>
      </c>
      <c r="I33" s="30">
        <v>1</v>
      </c>
      <c r="J33" s="30"/>
      <c r="K33" s="30"/>
      <c r="L33" s="32">
        <v>1</v>
      </c>
      <c r="Q33" s="13"/>
    </row>
    <row r="34" spans="1:17" ht="13.5" thickBot="1">
      <c r="A34" s="1" t="s">
        <v>58</v>
      </c>
      <c r="B34" s="29">
        <v>6</v>
      </c>
      <c r="C34" s="30">
        <v>11</v>
      </c>
      <c r="D34" s="30">
        <v>1</v>
      </c>
      <c r="E34" s="30">
        <f t="shared" si="15"/>
        <v>11</v>
      </c>
      <c r="F34" s="31">
        <v>1.02</v>
      </c>
      <c r="G34" s="30">
        <f t="shared" si="16"/>
        <v>11.22</v>
      </c>
      <c r="H34" s="30">
        <f t="shared" si="14"/>
        <v>0.93500000000000005</v>
      </c>
      <c r="I34" s="30">
        <v>1</v>
      </c>
      <c r="J34" s="30"/>
      <c r="K34" s="30"/>
      <c r="L34" s="32">
        <v>1</v>
      </c>
      <c r="Q34" s="13"/>
    </row>
    <row r="35" spans="1:17" ht="13.5" thickBot="1">
      <c r="A35" s="1" t="s">
        <v>59</v>
      </c>
      <c r="B35" s="29">
        <v>6</v>
      </c>
      <c r="C35" s="30">
        <v>6</v>
      </c>
      <c r="D35" s="30">
        <v>1</v>
      </c>
      <c r="E35" s="30">
        <f t="shared" si="15"/>
        <v>6</v>
      </c>
      <c r="F35" s="31">
        <v>1.42</v>
      </c>
      <c r="G35" s="30">
        <f t="shared" si="16"/>
        <v>8.52</v>
      </c>
      <c r="H35" s="30">
        <f t="shared" si="14"/>
        <v>0.71</v>
      </c>
      <c r="I35" s="30">
        <v>1</v>
      </c>
      <c r="J35" s="30"/>
      <c r="K35" s="30"/>
      <c r="L35" s="32">
        <v>1</v>
      </c>
      <c r="Q35" s="13"/>
    </row>
    <row r="36" spans="1:17" ht="13.5" thickBot="1">
      <c r="A36" s="1" t="s">
        <v>58</v>
      </c>
      <c r="B36" s="29">
        <v>6</v>
      </c>
      <c r="C36" s="30">
        <v>11</v>
      </c>
      <c r="D36" s="30">
        <v>1</v>
      </c>
      <c r="E36" s="30">
        <f t="shared" si="15"/>
        <v>11</v>
      </c>
      <c r="F36" s="31">
        <v>1.02</v>
      </c>
      <c r="G36" s="30">
        <f t="shared" si="16"/>
        <v>11.22</v>
      </c>
      <c r="H36" s="30">
        <f t="shared" si="14"/>
        <v>0.93500000000000005</v>
      </c>
      <c r="I36" s="30">
        <v>1</v>
      </c>
      <c r="J36" s="30"/>
      <c r="K36" s="30"/>
      <c r="L36" s="32">
        <v>1</v>
      </c>
      <c r="Q36" s="13"/>
    </row>
    <row r="37" spans="1:17" ht="13.5" thickBot="1">
      <c r="A37" s="1" t="s">
        <v>60</v>
      </c>
      <c r="B37" s="29">
        <v>6</v>
      </c>
      <c r="C37" s="30">
        <v>22</v>
      </c>
      <c r="D37" s="30">
        <v>1</v>
      </c>
      <c r="E37" s="30">
        <f t="shared" si="15"/>
        <v>22</v>
      </c>
      <c r="F37" s="31">
        <v>0.82</v>
      </c>
      <c r="G37" s="30">
        <f t="shared" si="16"/>
        <v>18.04</v>
      </c>
      <c r="H37" s="30">
        <f t="shared" si="14"/>
        <v>1.5033333333333332</v>
      </c>
      <c r="I37" s="30">
        <v>1</v>
      </c>
      <c r="J37" s="30"/>
      <c r="K37" s="30"/>
      <c r="L37" s="32">
        <v>1</v>
      </c>
      <c r="Q37" s="13"/>
    </row>
    <row r="38" spans="1:17" ht="13.5" thickBot="1">
      <c r="A38" s="1" t="s">
        <v>60</v>
      </c>
      <c r="B38" s="29">
        <v>6</v>
      </c>
      <c r="C38" s="30">
        <v>29</v>
      </c>
      <c r="D38" s="30">
        <v>1</v>
      </c>
      <c r="E38" s="30">
        <f t="shared" si="15"/>
        <v>29</v>
      </c>
      <c r="F38" s="31">
        <v>1.42</v>
      </c>
      <c r="G38" s="30">
        <f t="shared" si="16"/>
        <v>41.18</v>
      </c>
      <c r="H38" s="30">
        <f t="shared" si="14"/>
        <v>3.4316666666666666</v>
      </c>
      <c r="I38" s="30">
        <v>4</v>
      </c>
      <c r="J38" s="30"/>
      <c r="K38" s="30"/>
      <c r="L38" s="32">
        <v>4</v>
      </c>
      <c r="Q38" s="13"/>
    </row>
    <row r="39" spans="1:17" ht="13.5" thickBot="1">
      <c r="A39" s="1" t="s">
        <v>61</v>
      </c>
      <c r="B39" s="29">
        <v>6</v>
      </c>
      <c r="C39" s="30">
        <v>4</v>
      </c>
      <c r="D39" s="30">
        <v>1</v>
      </c>
      <c r="E39" s="30">
        <f t="shared" si="15"/>
        <v>4</v>
      </c>
      <c r="F39" s="31">
        <v>6.8</v>
      </c>
      <c r="G39" s="30">
        <f t="shared" si="16"/>
        <v>27.2</v>
      </c>
      <c r="H39" s="30">
        <f t="shared" si="14"/>
        <v>2.2666666666666666</v>
      </c>
      <c r="I39" s="30">
        <v>2</v>
      </c>
      <c r="J39" s="30"/>
      <c r="K39" s="30"/>
      <c r="L39" s="32">
        <v>2</v>
      </c>
      <c r="Q39" s="13"/>
    </row>
    <row r="40" spans="1:17" ht="13.5" thickBot="1">
      <c r="A40" s="1" t="s">
        <v>61</v>
      </c>
      <c r="B40" s="29">
        <v>6</v>
      </c>
      <c r="C40" s="30">
        <v>22</v>
      </c>
      <c r="D40" s="30">
        <v>1</v>
      </c>
      <c r="E40" s="30">
        <f t="shared" si="15"/>
        <v>22</v>
      </c>
      <c r="F40" s="31">
        <v>2.02</v>
      </c>
      <c r="G40" s="30">
        <f t="shared" si="16"/>
        <v>44.44</v>
      </c>
      <c r="H40" s="30">
        <f t="shared" si="14"/>
        <v>3.7033333333333331</v>
      </c>
      <c r="I40" s="30">
        <v>4</v>
      </c>
      <c r="J40" s="30"/>
      <c r="K40" s="30"/>
      <c r="L40" s="32">
        <v>4</v>
      </c>
      <c r="Q40" s="13"/>
    </row>
    <row r="41" spans="1:17" ht="13.5" thickBot="1">
      <c r="A41" s="1" t="s">
        <v>62</v>
      </c>
      <c r="B41" s="29">
        <v>6</v>
      </c>
      <c r="C41" s="30">
        <v>11</v>
      </c>
      <c r="D41" s="30">
        <v>1</v>
      </c>
      <c r="E41" s="30">
        <f t="shared" si="15"/>
        <v>11</v>
      </c>
      <c r="F41" s="31">
        <v>1.25</v>
      </c>
      <c r="G41" s="30">
        <f t="shared" si="16"/>
        <v>13.75</v>
      </c>
      <c r="H41" s="30">
        <f t="shared" si="14"/>
        <v>1.1458333333333333</v>
      </c>
      <c r="I41" s="30">
        <v>2</v>
      </c>
      <c r="J41" s="30"/>
      <c r="K41" s="30"/>
      <c r="L41" s="32">
        <v>2</v>
      </c>
      <c r="Q41" s="13"/>
    </row>
    <row r="42" spans="1:17" ht="13.5" thickBot="1">
      <c r="A42" s="1" t="s">
        <v>62</v>
      </c>
      <c r="B42" s="29">
        <v>6</v>
      </c>
      <c r="C42" s="30">
        <v>8</v>
      </c>
      <c r="D42" s="30">
        <v>1</v>
      </c>
      <c r="E42" s="30">
        <f t="shared" si="15"/>
        <v>8</v>
      </c>
      <c r="F42" s="31">
        <v>1.2</v>
      </c>
      <c r="G42" s="30">
        <f t="shared" si="16"/>
        <v>9.6</v>
      </c>
      <c r="H42" s="30">
        <f t="shared" si="14"/>
        <v>0.79999999999999993</v>
      </c>
      <c r="I42" s="30">
        <v>1</v>
      </c>
      <c r="J42" s="30"/>
      <c r="K42" s="30"/>
      <c r="L42" s="32">
        <v>1</v>
      </c>
      <c r="Q42" s="13"/>
    </row>
    <row r="43" spans="1:17" ht="13.5" thickBot="1">
      <c r="A43" s="1" t="s">
        <v>62</v>
      </c>
      <c r="B43" s="29">
        <v>6</v>
      </c>
      <c r="C43" s="30">
        <v>8</v>
      </c>
      <c r="D43" s="30">
        <v>1</v>
      </c>
      <c r="E43" s="30">
        <f t="shared" si="15"/>
        <v>8</v>
      </c>
      <c r="F43" s="31">
        <v>1.4</v>
      </c>
      <c r="G43" s="30">
        <f t="shared" si="16"/>
        <v>11.2</v>
      </c>
      <c r="H43" s="30">
        <f t="shared" si="14"/>
        <v>0.93333333333333324</v>
      </c>
      <c r="I43" s="30">
        <v>1</v>
      </c>
      <c r="J43" s="30"/>
      <c r="K43" s="30"/>
      <c r="L43" s="32">
        <v>1</v>
      </c>
      <c r="Q43" s="13"/>
    </row>
    <row r="44" spans="1:17" ht="13.5" thickBot="1">
      <c r="A44" s="1" t="s">
        <v>63</v>
      </c>
      <c r="B44" s="29">
        <v>6</v>
      </c>
      <c r="C44" s="30">
        <v>12</v>
      </c>
      <c r="D44" s="30">
        <v>1</v>
      </c>
      <c r="E44" s="30">
        <f t="shared" si="15"/>
        <v>12</v>
      </c>
      <c r="F44" s="31">
        <v>6</v>
      </c>
      <c r="G44" s="30">
        <f t="shared" si="16"/>
        <v>72</v>
      </c>
      <c r="H44" s="30">
        <f t="shared" si="14"/>
        <v>6</v>
      </c>
      <c r="I44" s="30">
        <v>6</v>
      </c>
      <c r="J44" s="30"/>
      <c r="K44" s="30"/>
      <c r="L44" s="32">
        <v>6</v>
      </c>
      <c r="Q44" s="13"/>
    </row>
    <row r="45" spans="1:17" ht="13.5" thickBot="1">
      <c r="A45" s="1" t="s">
        <v>63</v>
      </c>
      <c r="B45" s="29">
        <v>6</v>
      </c>
      <c r="C45" s="30">
        <v>57</v>
      </c>
      <c r="D45" s="30">
        <v>1</v>
      </c>
      <c r="E45" s="30">
        <f t="shared" si="15"/>
        <v>57</v>
      </c>
      <c r="F45" s="31">
        <v>2.2999999999999998</v>
      </c>
      <c r="G45" s="30">
        <f t="shared" si="16"/>
        <v>131.1</v>
      </c>
      <c r="H45" s="30">
        <f t="shared" si="14"/>
        <v>10.924999999999999</v>
      </c>
      <c r="I45" s="30">
        <v>11</v>
      </c>
      <c r="J45" s="30"/>
      <c r="K45" s="30"/>
      <c r="L45" s="32">
        <v>11</v>
      </c>
      <c r="Q45" s="13"/>
    </row>
    <row r="46" spans="1:17" ht="13.5" thickBot="1">
      <c r="A46" s="1" t="s">
        <v>64</v>
      </c>
      <c r="B46" s="29">
        <v>6</v>
      </c>
      <c r="C46" s="30">
        <v>42</v>
      </c>
      <c r="D46" s="30">
        <v>1</v>
      </c>
      <c r="E46" s="30">
        <f t="shared" si="15"/>
        <v>42</v>
      </c>
      <c r="F46" s="31">
        <v>6.85</v>
      </c>
      <c r="G46" s="30">
        <f t="shared" si="16"/>
        <v>287.7</v>
      </c>
      <c r="H46" s="30">
        <f t="shared" si="14"/>
        <v>23.974999999999998</v>
      </c>
      <c r="I46" s="30">
        <v>24</v>
      </c>
      <c r="J46" s="30"/>
      <c r="K46" s="30"/>
      <c r="L46" s="32">
        <v>24</v>
      </c>
      <c r="Q46" s="13"/>
    </row>
    <row r="47" spans="1:17" ht="13.5" thickBot="1">
      <c r="A47" s="1" t="s">
        <v>65</v>
      </c>
      <c r="B47" s="29">
        <v>6</v>
      </c>
      <c r="C47" s="30">
        <v>20</v>
      </c>
      <c r="D47" s="30">
        <v>1</v>
      </c>
      <c r="E47" s="30">
        <f t="shared" si="15"/>
        <v>20</v>
      </c>
      <c r="F47" s="31">
        <v>2.4</v>
      </c>
      <c r="G47" s="30">
        <f t="shared" si="16"/>
        <v>48</v>
      </c>
      <c r="H47" s="30">
        <f t="shared" si="14"/>
        <v>4</v>
      </c>
      <c r="I47" s="30">
        <v>4</v>
      </c>
      <c r="J47" s="30"/>
      <c r="K47" s="30"/>
      <c r="L47" s="32">
        <v>4</v>
      </c>
      <c r="Q47" s="13"/>
    </row>
    <row r="48" spans="1:17" ht="13.5" thickBot="1">
      <c r="A48" s="1" t="s">
        <v>65</v>
      </c>
      <c r="B48" s="29">
        <v>6</v>
      </c>
      <c r="C48" s="30">
        <v>12</v>
      </c>
      <c r="D48" s="30">
        <v>1</v>
      </c>
      <c r="E48" s="30">
        <f t="shared" si="15"/>
        <v>12</v>
      </c>
      <c r="F48" s="31">
        <v>3.1</v>
      </c>
      <c r="G48" s="30">
        <f t="shared" si="16"/>
        <v>37.200000000000003</v>
      </c>
      <c r="H48" s="30">
        <f t="shared" si="14"/>
        <v>3.1</v>
      </c>
      <c r="I48" s="30">
        <v>3</v>
      </c>
      <c r="J48" s="30"/>
      <c r="K48" s="30"/>
      <c r="L48" s="32">
        <v>3</v>
      </c>
      <c r="Q48" s="13"/>
    </row>
    <row r="49" spans="1:25" ht="13.5" thickBot="1">
      <c r="A49" s="1" t="s">
        <v>66</v>
      </c>
      <c r="B49" s="29">
        <v>6</v>
      </c>
      <c r="C49" s="30">
        <v>20</v>
      </c>
      <c r="D49" s="30">
        <v>1</v>
      </c>
      <c r="E49" s="30">
        <f t="shared" si="15"/>
        <v>20</v>
      </c>
      <c r="F49" s="31">
        <v>1.9</v>
      </c>
      <c r="G49" s="30">
        <f t="shared" si="16"/>
        <v>38</v>
      </c>
      <c r="H49" s="30">
        <f t="shared" si="14"/>
        <v>3.1666666666666665</v>
      </c>
      <c r="I49" s="30">
        <v>3</v>
      </c>
      <c r="J49" s="30"/>
      <c r="K49" s="30"/>
      <c r="L49" s="32">
        <v>3</v>
      </c>
      <c r="Q49" s="13"/>
    </row>
    <row r="50" spans="1:25" ht="13.5" thickBot="1">
      <c r="A50" s="1" t="s">
        <v>66</v>
      </c>
      <c r="B50" s="29">
        <v>6</v>
      </c>
      <c r="C50" s="30">
        <v>9</v>
      </c>
      <c r="D50" s="30">
        <v>1</v>
      </c>
      <c r="E50" s="30">
        <f t="shared" si="15"/>
        <v>9</v>
      </c>
      <c r="F50" s="31">
        <v>3.1</v>
      </c>
      <c r="G50" s="30">
        <f t="shared" ref="G50:G57" si="17">+F50*E50</f>
        <v>27.900000000000002</v>
      </c>
      <c r="H50" s="30">
        <f t="shared" si="14"/>
        <v>2.3250000000000002</v>
      </c>
      <c r="I50" s="30">
        <v>2</v>
      </c>
      <c r="J50" s="30"/>
      <c r="K50" s="30"/>
      <c r="L50" s="32">
        <v>2</v>
      </c>
      <c r="Q50" s="13"/>
    </row>
    <row r="51" spans="1:25" s="12" customFormat="1" ht="13.5" thickBot="1">
      <c r="A51" s="12" t="s">
        <v>67</v>
      </c>
      <c r="B51" s="25">
        <v>6</v>
      </c>
      <c r="C51" s="25">
        <v>1</v>
      </c>
      <c r="D51" s="30">
        <v>1</v>
      </c>
      <c r="E51" s="30">
        <v>23</v>
      </c>
      <c r="F51" s="30">
        <v>1.42</v>
      </c>
      <c r="G51" s="30">
        <f t="shared" si="17"/>
        <v>32.659999999999997</v>
      </c>
      <c r="H51" s="30">
        <f t="shared" si="14"/>
        <v>2.7216666666666662</v>
      </c>
      <c r="I51" s="25">
        <v>3</v>
      </c>
      <c r="J51" s="25"/>
      <c r="K51" s="25"/>
      <c r="L51" s="25">
        <v>3</v>
      </c>
      <c r="M51" s="55"/>
      <c r="N51" s="55"/>
      <c r="O51" s="55"/>
      <c r="P51" s="55"/>
      <c r="Q51" s="55"/>
    </row>
    <row r="52" spans="1:25" s="12" customFormat="1" ht="13.5" thickBot="1">
      <c r="A52" s="12" t="s">
        <v>67</v>
      </c>
      <c r="B52" s="25">
        <v>6</v>
      </c>
      <c r="C52" s="25">
        <v>1</v>
      </c>
      <c r="D52" s="30">
        <v>1</v>
      </c>
      <c r="E52" s="30">
        <v>23</v>
      </c>
      <c r="F52" s="30">
        <v>0.21</v>
      </c>
      <c r="G52" s="30">
        <f t="shared" si="17"/>
        <v>4.83</v>
      </c>
      <c r="H52" s="30">
        <f t="shared" si="14"/>
        <v>0.40250000000000002</v>
      </c>
      <c r="I52" s="25"/>
      <c r="J52" s="25"/>
      <c r="K52" s="25"/>
      <c r="L52" s="25"/>
      <c r="M52" s="55"/>
      <c r="N52" s="55"/>
      <c r="O52" s="55"/>
      <c r="P52" s="55"/>
      <c r="Q52" s="55"/>
    </row>
    <row r="53" spans="1:25" s="12" customFormat="1" ht="13.5" thickBot="1">
      <c r="A53" s="12" t="s">
        <v>67</v>
      </c>
      <c r="B53" s="25">
        <v>6</v>
      </c>
      <c r="C53" s="25">
        <v>1</v>
      </c>
      <c r="D53" s="30">
        <v>1</v>
      </c>
      <c r="E53" s="30">
        <v>23</v>
      </c>
      <c r="F53" s="30">
        <v>1.72</v>
      </c>
      <c r="G53" s="30">
        <f t="shared" si="17"/>
        <v>39.56</v>
      </c>
      <c r="H53" s="30">
        <f t="shared" si="14"/>
        <v>3.2966666666666669</v>
      </c>
      <c r="I53" s="25">
        <v>3</v>
      </c>
      <c r="J53" s="25"/>
      <c r="K53" s="25"/>
      <c r="L53" s="25">
        <v>3</v>
      </c>
      <c r="M53" s="55"/>
      <c r="N53" s="55"/>
      <c r="O53" s="55"/>
      <c r="P53" s="55"/>
      <c r="Q53" s="55"/>
    </row>
    <row r="54" spans="1:25" s="12" customFormat="1" ht="13.5" thickBot="1">
      <c r="A54" s="12" t="s">
        <v>67</v>
      </c>
      <c r="B54" s="25">
        <v>6</v>
      </c>
      <c r="C54" s="25">
        <v>1</v>
      </c>
      <c r="D54" s="30">
        <v>1</v>
      </c>
      <c r="E54" s="30">
        <v>23</v>
      </c>
      <c r="F54" s="30">
        <v>0.21</v>
      </c>
      <c r="G54" s="30">
        <f t="shared" si="17"/>
        <v>4.83</v>
      </c>
      <c r="H54" s="30">
        <f t="shared" si="14"/>
        <v>0.40250000000000002</v>
      </c>
      <c r="I54" s="25">
        <v>1</v>
      </c>
      <c r="J54" s="25"/>
      <c r="K54" s="25"/>
      <c r="L54" s="25">
        <v>1</v>
      </c>
      <c r="M54" s="55"/>
      <c r="N54" s="55"/>
      <c r="O54" s="55"/>
      <c r="P54" s="55"/>
      <c r="Q54" s="55"/>
    </row>
    <row r="55" spans="1:25" ht="13.5" thickBot="1">
      <c r="A55" s="1"/>
      <c r="B55" s="65"/>
      <c r="C55" s="66"/>
      <c r="D55" s="30"/>
      <c r="E55" s="30"/>
      <c r="F55" s="31"/>
      <c r="G55" s="30"/>
      <c r="H55" s="30"/>
      <c r="I55" s="66"/>
      <c r="J55" s="66"/>
      <c r="K55" s="66"/>
      <c r="L55" s="67"/>
      <c r="Q55" s="13"/>
    </row>
    <row r="56" spans="1:25" ht="13.5" thickBot="1">
      <c r="A56" s="1"/>
      <c r="B56" s="65"/>
      <c r="C56" s="66"/>
      <c r="D56" s="30"/>
      <c r="E56" s="30"/>
      <c r="F56" s="31"/>
      <c r="G56" s="30"/>
      <c r="H56" s="30"/>
      <c r="I56" s="66"/>
      <c r="J56" s="66"/>
      <c r="K56" s="66"/>
      <c r="L56" s="67"/>
      <c r="Q56" s="13"/>
    </row>
    <row r="57" spans="1:25" s="2" customFormat="1" ht="13.5" thickBot="1">
      <c r="A57" s="62" t="s">
        <v>68</v>
      </c>
      <c r="B57" s="63">
        <v>6</v>
      </c>
      <c r="C57" s="63">
        <v>1</v>
      </c>
      <c r="D57" s="64">
        <v>1</v>
      </c>
      <c r="E57" s="64">
        <v>20</v>
      </c>
      <c r="F57" s="31">
        <v>1.82</v>
      </c>
      <c r="G57" s="64">
        <f t="shared" si="17"/>
        <v>36.4</v>
      </c>
      <c r="H57" s="64">
        <f t="shared" si="14"/>
        <v>3.0333333333333332</v>
      </c>
      <c r="I57" s="63">
        <v>3</v>
      </c>
      <c r="J57" s="63"/>
      <c r="K57" s="63"/>
      <c r="L57" s="63">
        <v>3</v>
      </c>
      <c r="M57" s="13"/>
      <c r="N57" s="13"/>
      <c r="O57" s="13"/>
      <c r="P57" s="13"/>
      <c r="Q57" s="13"/>
      <c r="R57" s="12"/>
      <c r="S57" s="12"/>
      <c r="T57" s="12"/>
      <c r="U57" s="12"/>
      <c r="V57" s="1"/>
      <c r="W57" s="1"/>
      <c r="X57" s="1"/>
      <c r="Y57" s="1"/>
    </row>
    <row r="58" spans="1:25" s="2" customFormat="1" ht="13.5" thickBot="1">
      <c r="A58" s="62" t="s">
        <v>68</v>
      </c>
      <c r="B58" s="63">
        <v>6</v>
      </c>
      <c r="C58" s="63">
        <v>1</v>
      </c>
      <c r="D58" s="64">
        <v>1</v>
      </c>
      <c r="E58" s="64">
        <v>18</v>
      </c>
      <c r="F58" s="31">
        <v>1.42</v>
      </c>
      <c r="G58" s="64">
        <f t="shared" ref="G58:G89" si="18">+F58*E58</f>
        <v>25.56</v>
      </c>
      <c r="H58" s="64">
        <f t="shared" si="14"/>
        <v>2.13</v>
      </c>
      <c r="I58" s="63">
        <v>2</v>
      </c>
      <c r="J58" s="63"/>
      <c r="K58" s="63"/>
      <c r="L58" s="63">
        <v>2</v>
      </c>
      <c r="M58" s="13"/>
      <c r="N58" s="13"/>
      <c r="O58" s="13"/>
      <c r="P58" s="13"/>
      <c r="Q58" s="13"/>
      <c r="R58" s="12"/>
      <c r="S58" s="12"/>
      <c r="T58" s="12"/>
      <c r="U58" s="12"/>
      <c r="V58" s="1"/>
      <c r="W58" s="1"/>
      <c r="X58" s="1"/>
      <c r="Y58" s="1"/>
    </row>
    <row r="59" spans="1:25" s="2" customFormat="1" ht="13.5" thickBot="1">
      <c r="A59" s="62" t="s">
        <v>68</v>
      </c>
      <c r="B59" s="63">
        <v>6</v>
      </c>
      <c r="C59" s="63">
        <v>2</v>
      </c>
      <c r="D59" s="64">
        <v>1</v>
      </c>
      <c r="E59" s="64">
        <v>2</v>
      </c>
      <c r="F59" s="31">
        <v>4.9000000000000004</v>
      </c>
      <c r="G59" s="64">
        <f t="shared" si="18"/>
        <v>9.8000000000000007</v>
      </c>
      <c r="H59" s="64">
        <f t="shared" si="14"/>
        <v>0.81666666666666676</v>
      </c>
      <c r="I59" s="63">
        <v>1</v>
      </c>
      <c r="J59" s="63"/>
      <c r="K59" s="63"/>
      <c r="L59" s="63">
        <v>1</v>
      </c>
      <c r="M59" s="13"/>
      <c r="N59" s="13"/>
      <c r="O59" s="13"/>
      <c r="P59" s="13"/>
      <c r="Q59" s="13"/>
      <c r="R59" s="12"/>
      <c r="S59" s="12"/>
      <c r="T59" s="12"/>
      <c r="U59" s="12"/>
      <c r="V59" s="1"/>
      <c r="W59" s="1"/>
      <c r="X59" s="1"/>
      <c r="Y59" s="1"/>
    </row>
    <row r="60" spans="1:25" s="2" customFormat="1" ht="13.5" thickBot="1">
      <c r="A60" s="62" t="s">
        <v>69</v>
      </c>
      <c r="B60" s="63">
        <v>6</v>
      </c>
      <c r="C60" s="63">
        <v>1</v>
      </c>
      <c r="D60" s="64">
        <v>1</v>
      </c>
      <c r="E60" s="64">
        <v>12</v>
      </c>
      <c r="F60" s="31">
        <v>1.42</v>
      </c>
      <c r="G60" s="64">
        <f t="shared" si="18"/>
        <v>17.04</v>
      </c>
      <c r="H60" s="64">
        <f t="shared" si="14"/>
        <v>1.42</v>
      </c>
      <c r="I60" s="63">
        <v>2</v>
      </c>
      <c r="J60" s="63"/>
      <c r="K60" s="63"/>
      <c r="L60" s="63">
        <v>2</v>
      </c>
      <c r="M60" s="13"/>
      <c r="N60" s="13"/>
      <c r="O60" s="13"/>
      <c r="P60" s="13"/>
      <c r="Q60" s="13"/>
      <c r="R60" s="12"/>
      <c r="S60" s="12"/>
      <c r="T60" s="12"/>
      <c r="U60" s="12"/>
      <c r="V60" s="1"/>
      <c r="W60" s="1"/>
      <c r="X60" s="1"/>
      <c r="Y60" s="1"/>
    </row>
    <row r="61" spans="1:25" s="2" customFormat="1" ht="13.5" thickBot="1">
      <c r="A61" s="62" t="s">
        <v>70</v>
      </c>
      <c r="B61" s="63">
        <v>6</v>
      </c>
      <c r="C61" s="63">
        <v>1</v>
      </c>
      <c r="D61" s="64">
        <v>1</v>
      </c>
      <c r="E61" s="64">
        <v>9</v>
      </c>
      <c r="F61" s="31">
        <v>1.42</v>
      </c>
      <c r="G61" s="64">
        <f t="shared" si="18"/>
        <v>12.78</v>
      </c>
      <c r="H61" s="64">
        <f t="shared" si="14"/>
        <v>1.0649999999999999</v>
      </c>
      <c r="I61" s="63">
        <v>1</v>
      </c>
      <c r="J61" s="63"/>
      <c r="K61" s="63"/>
      <c r="L61" s="63">
        <v>1</v>
      </c>
      <c r="M61" s="13"/>
      <c r="N61" s="13"/>
      <c r="O61" s="13"/>
      <c r="P61" s="13"/>
      <c r="Q61" s="13"/>
      <c r="R61" s="12"/>
      <c r="S61" s="12"/>
      <c r="T61" s="12"/>
      <c r="U61" s="12"/>
      <c r="V61" s="1"/>
      <c r="W61" s="1"/>
      <c r="X61" s="1"/>
      <c r="Y61" s="1"/>
    </row>
    <row r="62" spans="1:25" s="2" customFormat="1" ht="13.5" thickBot="1">
      <c r="A62" s="62" t="s">
        <v>71</v>
      </c>
      <c r="B62" s="63">
        <v>6</v>
      </c>
      <c r="C62" s="63">
        <v>1</v>
      </c>
      <c r="D62" s="64">
        <v>1</v>
      </c>
      <c r="E62" s="64">
        <v>12</v>
      </c>
      <c r="F62" s="31">
        <v>1.42</v>
      </c>
      <c r="G62" s="64">
        <f t="shared" si="18"/>
        <v>17.04</v>
      </c>
      <c r="H62" s="64">
        <f t="shared" si="14"/>
        <v>1.42</v>
      </c>
      <c r="I62" s="63">
        <v>2</v>
      </c>
      <c r="J62" s="63"/>
      <c r="K62" s="63"/>
      <c r="L62" s="63">
        <v>2</v>
      </c>
      <c r="M62" s="13"/>
      <c r="N62" s="13"/>
      <c r="O62" s="13"/>
      <c r="P62" s="13"/>
      <c r="Q62" s="13"/>
      <c r="R62" s="12"/>
      <c r="S62" s="12"/>
      <c r="T62" s="12"/>
      <c r="U62" s="12"/>
      <c r="V62" s="1"/>
      <c r="W62" s="1"/>
      <c r="X62" s="1"/>
      <c r="Y62" s="1"/>
    </row>
    <row r="63" spans="1:25" s="2" customFormat="1" ht="13.5" thickBot="1">
      <c r="A63" s="62" t="s">
        <v>72</v>
      </c>
      <c r="B63" s="63">
        <v>6</v>
      </c>
      <c r="C63" s="63">
        <v>1</v>
      </c>
      <c r="D63" s="64">
        <v>1</v>
      </c>
      <c r="E63" s="64">
        <v>6</v>
      </c>
      <c r="F63" s="31">
        <v>1.42</v>
      </c>
      <c r="G63" s="64">
        <f t="shared" si="18"/>
        <v>8.52</v>
      </c>
      <c r="H63" s="64">
        <f t="shared" si="14"/>
        <v>0.71</v>
      </c>
      <c r="I63" s="63">
        <v>1</v>
      </c>
      <c r="J63" s="63"/>
      <c r="K63" s="63"/>
      <c r="L63" s="63">
        <v>1</v>
      </c>
      <c r="M63" s="13"/>
      <c r="N63" s="13"/>
      <c r="O63" s="13"/>
      <c r="P63" s="13"/>
      <c r="Q63" s="13"/>
      <c r="R63" s="12"/>
      <c r="S63" s="12"/>
      <c r="T63" s="12"/>
      <c r="U63" s="12"/>
      <c r="V63" s="1"/>
      <c r="W63" s="1"/>
      <c r="X63" s="1"/>
      <c r="Y63" s="1"/>
    </row>
    <row r="64" spans="1:25" s="2" customFormat="1" ht="13.5" thickBot="1">
      <c r="A64" s="62" t="s">
        <v>73</v>
      </c>
      <c r="B64" s="63">
        <v>6</v>
      </c>
      <c r="C64" s="63">
        <v>1</v>
      </c>
      <c r="D64" s="64">
        <v>1</v>
      </c>
      <c r="E64" s="64">
        <v>7</v>
      </c>
      <c r="F64" s="31">
        <v>1.42</v>
      </c>
      <c r="G64" s="64">
        <f t="shared" si="18"/>
        <v>9.94</v>
      </c>
      <c r="H64" s="64">
        <f t="shared" si="14"/>
        <v>0.82833333333333325</v>
      </c>
      <c r="I64" s="63">
        <v>1</v>
      </c>
      <c r="J64" s="63"/>
      <c r="K64" s="63"/>
      <c r="L64" s="63">
        <v>1</v>
      </c>
      <c r="M64" s="13"/>
      <c r="N64" s="13"/>
      <c r="O64" s="13"/>
      <c r="P64" s="13"/>
      <c r="Q64" s="13"/>
      <c r="R64" s="12"/>
      <c r="S64" s="12"/>
      <c r="T64" s="12"/>
      <c r="U64" s="12"/>
      <c r="V64" s="1"/>
      <c r="W64" s="1"/>
      <c r="X64" s="1"/>
      <c r="Y64" s="1"/>
    </row>
    <row r="65" spans="1:25" s="2" customFormat="1" ht="13.5" thickBot="1">
      <c r="A65" s="62" t="s">
        <v>74</v>
      </c>
      <c r="B65" s="63">
        <v>6</v>
      </c>
      <c r="C65" s="63">
        <v>1</v>
      </c>
      <c r="D65" s="64">
        <v>1</v>
      </c>
      <c r="E65" s="64">
        <v>20</v>
      </c>
      <c r="F65" s="31">
        <v>1.42</v>
      </c>
      <c r="G65" s="64">
        <f t="shared" si="18"/>
        <v>28.4</v>
      </c>
      <c r="H65" s="64">
        <f t="shared" si="14"/>
        <v>2.3666666666666667</v>
      </c>
      <c r="I65" s="63">
        <v>3</v>
      </c>
      <c r="J65" s="63"/>
      <c r="K65" s="63"/>
      <c r="L65" s="63">
        <v>3</v>
      </c>
      <c r="M65" s="13"/>
      <c r="N65" s="13"/>
      <c r="O65" s="13"/>
      <c r="P65" s="13"/>
      <c r="Q65" s="13"/>
      <c r="R65" s="12"/>
      <c r="S65" s="12"/>
      <c r="T65" s="12"/>
      <c r="U65" s="12"/>
      <c r="V65" s="1"/>
      <c r="W65" s="1"/>
      <c r="X65" s="1"/>
      <c r="Y65" s="1"/>
    </row>
    <row r="66" spans="1:25" s="2" customFormat="1" ht="13.5" thickBot="1">
      <c r="A66" s="62" t="s">
        <v>75</v>
      </c>
      <c r="B66" s="63">
        <v>6</v>
      </c>
      <c r="C66" s="63">
        <v>1</v>
      </c>
      <c r="D66" s="64">
        <v>1</v>
      </c>
      <c r="E66" s="64">
        <v>4</v>
      </c>
      <c r="F66" s="31">
        <v>6.85</v>
      </c>
      <c r="G66" s="64">
        <f t="shared" si="18"/>
        <v>27.4</v>
      </c>
      <c r="H66" s="64">
        <f t="shared" si="14"/>
        <v>2.2833333333333332</v>
      </c>
      <c r="I66" s="63">
        <v>2</v>
      </c>
      <c r="J66" s="63"/>
      <c r="K66" s="63"/>
      <c r="L66" s="63">
        <v>2</v>
      </c>
      <c r="M66" s="13"/>
      <c r="N66" s="13"/>
      <c r="O66" s="13"/>
      <c r="P66" s="13"/>
      <c r="Q66" s="13"/>
      <c r="R66" s="12"/>
      <c r="S66" s="12"/>
      <c r="T66" s="12"/>
      <c r="U66" s="12"/>
      <c r="V66" s="1"/>
      <c r="W66" s="1"/>
      <c r="X66" s="1"/>
      <c r="Y66" s="1"/>
    </row>
    <row r="67" spans="1:25" s="2" customFormat="1" ht="13.5" thickBot="1">
      <c r="A67" s="62" t="s">
        <v>75</v>
      </c>
      <c r="B67" s="63">
        <v>6</v>
      </c>
      <c r="C67" s="63">
        <v>1</v>
      </c>
      <c r="D67" s="64">
        <v>1</v>
      </c>
      <c r="E67" s="64">
        <v>22</v>
      </c>
      <c r="F67" s="31">
        <v>2.02</v>
      </c>
      <c r="G67" s="64">
        <f t="shared" si="18"/>
        <v>44.44</v>
      </c>
      <c r="H67" s="64">
        <f t="shared" si="14"/>
        <v>3.7033333333333331</v>
      </c>
      <c r="I67" s="63">
        <v>4</v>
      </c>
      <c r="J67" s="63"/>
      <c r="K67" s="63"/>
      <c r="L67" s="63">
        <v>4</v>
      </c>
      <c r="M67" s="13"/>
      <c r="N67" s="13"/>
      <c r="O67" s="13"/>
      <c r="P67" s="13"/>
      <c r="Q67" s="13"/>
      <c r="R67" s="12"/>
      <c r="S67" s="12"/>
      <c r="T67" s="12"/>
      <c r="U67" s="12"/>
      <c r="V67" s="1"/>
      <c r="W67" s="1"/>
      <c r="X67" s="1"/>
      <c r="Y67" s="1"/>
    </row>
    <row r="68" spans="1:25" s="2" customFormat="1" ht="13.5" thickBot="1">
      <c r="A68" s="62" t="s">
        <v>76</v>
      </c>
      <c r="B68" s="63">
        <v>6</v>
      </c>
      <c r="C68" s="63">
        <v>1</v>
      </c>
      <c r="D68" s="64">
        <v>1</v>
      </c>
      <c r="E68" s="64">
        <v>20</v>
      </c>
      <c r="F68" s="31">
        <v>8.7200000000000006</v>
      </c>
      <c r="G68" s="64">
        <f t="shared" si="18"/>
        <v>174.4</v>
      </c>
      <c r="H68" s="64">
        <f t="shared" si="14"/>
        <v>14.533333333333333</v>
      </c>
      <c r="I68" s="63">
        <v>15</v>
      </c>
      <c r="J68" s="63"/>
      <c r="K68" s="63"/>
      <c r="L68" s="63">
        <v>15</v>
      </c>
      <c r="M68" s="13"/>
      <c r="N68" s="13"/>
      <c r="O68" s="13"/>
      <c r="P68" s="13"/>
      <c r="Q68" s="13"/>
      <c r="R68" s="12"/>
      <c r="S68" s="12"/>
      <c r="T68" s="12"/>
      <c r="U68" s="12"/>
      <c r="V68" s="1"/>
      <c r="W68" s="1"/>
      <c r="X68" s="1"/>
      <c r="Y68" s="1"/>
    </row>
    <row r="69" spans="1:25" s="2" customFormat="1" ht="13.5" thickBot="1">
      <c r="A69" s="62" t="s">
        <v>76</v>
      </c>
      <c r="B69" s="63">
        <v>6</v>
      </c>
      <c r="C69" s="63">
        <v>1</v>
      </c>
      <c r="D69" s="64">
        <v>1</v>
      </c>
      <c r="E69" s="64">
        <v>6</v>
      </c>
      <c r="F69" s="31">
        <v>4.75</v>
      </c>
      <c r="G69" s="64">
        <f t="shared" si="18"/>
        <v>28.5</v>
      </c>
      <c r="H69" s="64">
        <f t="shared" si="14"/>
        <v>2.375</v>
      </c>
      <c r="I69" s="63">
        <v>2</v>
      </c>
      <c r="J69" s="63"/>
      <c r="K69" s="63"/>
      <c r="L69" s="63">
        <v>2</v>
      </c>
      <c r="M69" s="13"/>
      <c r="N69" s="13"/>
      <c r="O69" s="13"/>
      <c r="P69" s="13"/>
      <c r="Q69" s="13"/>
      <c r="R69" s="12"/>
      <c r="S69" s="12"/>
      <c r="T69" s="12"/>
      <c r="U69" s="12"/>
      <c r="V69" s="1"/>
      <c r="W69" s="1"/>
      <c r="X69" s="1"/>
      <c r="Y69" s="1"/>
    </row>
    <row r="70" spans="1:25" s="2" customFormat="1" ht="13.5" thickBot="1">
      <c r="A70" s="62" t="s">
        <v>77</v>
      </c>
      <c r="B70" s="63">
        <v>6</v>
      </c>
      <c r="C70" s="63">
        <v>1</v>
      </c>
      <c r="D70" s="64">
        <v>1</v>
      </c>
      <c r="E70" s="64">
        <v>5</v>
      </c>
      <c r="F70" s="31">
        <v>1.42</v>
      </c>
      <c r="G70" s="64">
        <f t="shared" si="18"/>
        <v>7.1</v>
      </c>
      <c r="H70" s="64">
        <f t="shared" si="14"/>
        <v>0.59166666666666667</v>
      </c>
      <c r="I70" s="63">
        <v>1</v>
      </c>
      <c r="J70" s="63"/>
      <c r="K70" s="63"/>
      <c r="L70" s="63">
        <v>1</v>
      </c>
      <c r="M70" s="13"/>
      <c r="N70" s="13"/>
      <c r="O70" s="13"/>
      <c r="P70" s="13"/>
      <c r="Q70" s="13"/>
      <c r="R70" s="12"/>
      <c r="S70" s="12"/>
      <c r="T70" s="12"/>
      <c r="U70" s="12"/>
      <c r="V70" s="1"/>
      <c r="W70" s="1"/>
      <c r="X70" s="1"/>
      <c r="Y70" s="1"/>
    </row>
    <row r="71" spans="1:25" s="2" customFormat="1" ht="13.5" thickBot="1">
      <c r="A71" s="62" t="s">
        <v>78</v>
      </c>
      <c r="B71" s="63">
        <v>6</v>
      </c>
      <c r="C71" s="63">
        <v>1</v>
      </c>
      <c r="D71" s="64">
        <v>1</v>
      </c>
      <c r="E71" s="64">
        <v>9</v>
      </c>
      <c r="F71" s="31">
        <v>1.02</v>
      </c>
      <c r="G71" s="64">
        <f t="shared" si="18"/>
        <v>9.18</v>
      </c>
      <c r="H71" s="64">
        <f t="shared" si="14"/>
        <v>0.76500000000000001</v>
      </c>
      <c r="I71" s="63">
        <v>1</v>
      </c>
      <c r="J71" s="63"/>
      <c r="K71" s="63"/>
      <c r="L71" s="63">
        <v>1</v>
      </c>
      <c r="M71" s="13"/>
      <c r="N71" s="13"/>
      <c r="O71" s="13"/>
      <c r="P71" s="13"/>
      <c r="Q71" s="13"/>
      <c r="R71" s="12"/>
      <c r="S71" s="12"/>
      <c r="T71" s="12"/>
      <c r="U71" s="12"/>
      <c r="V71" s="1"/>
      <c r="W71" s="1"/>
      <c r="X71" s="1"/>
      <c r="Y71" s="1"/>
    </row>
    <row r="72" spans="1:25" s="2" customFormat="1" ht="13.5" thickBot="1">
      <c r="A72" s="62" t="s">
        <v>79</v>
      </c>
      <c r="B72" s="63">
        <v>6</v>
      </c>
      <c r="C72" s="63">
        <v>1</v>
      </c>
      <c r="D72" s="64">
        <v>1</v>
      </c>
      <c r="E72" s="64">
        <v>10</v>
      </c>
      <c r="F72" s="31">
        <v>2.72</v>
      </c>
      <c r="G72" s="64">
        <f t="shared" si="18"/>
        <v>27.200000000000003</v>
      </c>
      <c r="H72" s="64">
        <f t="shared" si="14"/>
        <v>2.2666666666666671</v>
      </c>
      <c r="I72" s="63">
        <v>2</v>
      </c>
      <c r="J72" s="63"/>
      <c r="K72" s="63"/>
      <c r="L72" s="63">
        <v>2</v>
      </c>
      <c r="M72" s="13"/>
      <c r="N72" s="13"/>
      <c r="O72" s="13"/>
      <c r="P72" s="13"/>
      <c r="Q72" s="13"/>
      <c r="R72" s="12"/>
      <c r="S72" s="12"/>
      <c r="T72" s="12"/>
      <c r="U72" s="12"/>
      <c r="V72" s="1"/>
      <c r="W72" s="1"/>
      <c r="X72" s="1"/>
      <c r="Y72" s="1"/>
    </row>
    <row r="73" spans="1:25" s="2" customFormat="1" ht="13.5" thickBot="1">
      <c r="A73" s="62" t="s">
        <v>79</v>
      </c>
      <c r="B73" s="63">
        <v>6</v>
      </c>
      <c r="C73" s="63">
        <v>1</v>
      </c>
      <c r="D73" s="64">
        <v>1</v>
      </c>
      <c r="E73" s="64">
        <v>25</v>
      </c>
      <c r="F73" s="31">
        <v>2.72</v>
      </c>
      <c r="G73" s="64">
        <f t="shared" si="18"/>
        <v>68</v>
      </c>
      <c r="H73" s="64">
        <f t="shared" si="14"/>
        <v>5.666666666666667</v>
      </c>
      <c r="I73" s="63">
        <v>6</v>
      </c>
      <c r="J73" s="63"/>
      <c r="K73" s="63"/>
      <c r="L73" s="63">
        <v>6</v>
      </c>
      <c r="M73" s="13"/>
      <c r="N73" s="13"/>
      <c r="O73" s="13"/>
      <c r="P73" s="13"/>
      <c r="Q73" s="13"/>
      <c r="R73" s="12"/>
      <c r="S73" s="12"/>
      <c r="T73" s="12"/>
      <c r="U73" s="12"/>
      <c r="V73" s="1"/>
      <c r="W73" s="1"/>
      <c r="X73" s="1"/>
      <c r="Y73" s="1"/>
    </row>
    <row r="74" spans="1:25" s="2" customFormat="1" ht="13.5" thickBot="1">
      <c r="A74" s="62" t="s">
        <v>79</v>
      </c>
      <c r="B74" s="63">
        <v>6</v>
      </c>
      <c r="C74" s="63">
        <v>1</v>
      </c>
      <c r="D74" s="64">
        <v>1</v>
      </c>
      <c r="E74" s="64">
        <v>6</v>
      </c>
      <c r="F74" s="31">
        <v>3</v>
      </c>
      <c r="G74" s="64">
        <f t="shared" si="18"/>
        <v>18</v>
      </c>
      <c r="H74" s="64">
        <f t="shared" si="14"/>
        <v>1.5</v>
      </c>
      <c r="I74" s="63">
        <v>1</v>
      </c>
      <c r="J74" s="63"/>
      <c r="K74" s="63"/>
      <c r="L74" s="63">
        <v>1</v>
      </c>
      <c r="M74" s="13"/>
      <c r="N74" s="13"/>
      <c r="O74" s="13"/>
      <c r="P74" s="13"/>
      <c r="Q74" s="13"/>
      <c r="R74" s="12"/>
      <c r="S74" s="12"/>
      <c r="T74" s="12"/>
      <c r="U74" s="12"/>
      <c r="V74" s="1"/>
      <c r="W74" s="1"/>
      <c r="X74" s="1"/>
      <c r="Y74" s="1"/>
    </row>
    <row r="75" spans="1:25" s="2" customFormat="1" ht="13.5" thickBot="1">
      <c r="A75" s="62" t="s">
        <v>79</v>
      </c>
      <c r="B75" s="63">
        <v>6</v>
      </c>
      <c r="C75" s="63">
        <v>1</v>
      </c>
      <c r="D75" s="64">
        <v>1</v>
      </c>
      <c r="E75" s="64">
        <v>6</v>
      </c>
      <c r="F75" s="31">
        <v>3.9</v>
      </c>
      <c r="G75" s="64">
        <f t="shared" si="18"/>
        <v>23.4</v>
      </c>
      <c r="H75" s="64">
        <f t="shared" si="14"/>
        <v>1.95</v>
      </c>
      <c r="I75" s="63">
        <v>2</v>
      </c>
      <c r="J75" s="63"/>
      <c r="K75" s="63"/>
      <c r="L75" s="63">
        <v>2</v>
      </c>
      <c r="M75" s="13"/>
      <c r="N75" s="13"/>
      <c r="O75" s="13"/>
      <c r="P75" s="13"/>
      <c r="Q75" s="13"/>
      <c r="R75" s="12"/>
      <c r="S75" s="12"/>
      <c r="T75" s="12"/>
      <c r="U75" s="12"/>
      <c r="V75" s="1"/>
      <c r="W75" s="1"/>
      <c r="X75" s="1"/>
      <c r="Y75" s="1"/>
    </row>
    <row r="76" spans="1:25" s="2" customFormat="1" ht="13.5" thickBot="1">
      <c r="A76" s="62" t="s">
        <v>80</v>
      </c>
      <c r="B76" s="63">
        <v>6</v>
      </c>
      <c r="C76" s="63">
        <v>1</v>
      </c>
      <c r="D76" s="64">
        <v>1</v>
      </c>
      <c r="E76" s="64">
        <v>4</v>
      </c>
      <c r="F76" s="31">
        <v>6.8</v>
      </c>
      <c r="G76" s="64">
        <f t="shared" si="18"/>
        <v>27.2</v>
      </c>
      <c r="H76" s="64">
        <f t="shared" si="14"/>
        <v>2.2666666666666666</v>
      </c>
      <c r="I76" s="63">
        <v>2</v>
      </c>
      <c r="J76" s="63"/>
      <c r="K76" s="63"/>
      <c r="L76" s="63">
        <v>2</v>
      </c>
      <c r="M76" s="13"/>
      <c r="N76" s="13"/>
      <c r="O76" s="13"/>
      <c r="P76" s="13"/>
      <c r="Q76" s="13"/>
      <c r="R76" s="12"/>
      <c r="S76" s="12"/>
      <c r="T76" s="12"/>
      <c r="U76" s="12"/>
      <c r="V76" s="1"/>
      <c r="W76" s="1"/>
      <c r="X76" s="1"/>
      <c r="Y76" s="1"/>
    </row>
    <row r="77" spans="1:25" s="2" customFormat="1" ht="13.5" thickBot="1">
      <c r="A77" s="62" t="s">
        <v>80</v>
      </c>
      <c r="B77" s="63">
        <v>6</v>
      </c>
      <c r="C77" s="63">
        <v>1</v>
      </c>
      <c r="D77" s="64">
        <v>1</v>
      </c>
      <c r="E77" s="64">
        <v>22</v>
      </c>
      <c r="F77" s="31">
        <v>2.02</v>
      </c>
      <c r="G77" s="64">
        <f t="shared" si="18"/>
        <v>44.44</v>
      </c>
      <c r="H77" s="64">
        <f t="shared" si="14"/>
        <v>3.7033333333333331</v>
      </c>
      <c r="I77" s="63">
        <v>4</v>
      </c>
      <c r="J77" s="63"/>
      <c r="K77" s="63"/>
      <c r="L77" s="63">
        <v>4</v>
      </c>
      <c r="M77" s="13"/>
      <c r="N77" s="13"/>
      <c r="O77" s="13"/>
      <c r="P77" s="13"/>
      <c r="Q77" s="13"/>
      <c r="R77" s="12"/>
      <c r="S77" s="12"/>
      <c r="T77" s="12"/>
      <c r="U77" s="12"/>
      <c r="V77" s="1"/>
      <c r="W77" s="1"/>
      <c r="X77" s="1"/>
      <c r="Y77" s="1"/>
    </row>
    <row r="78" spans="1:25" s="2" customFormat="1" ht="13.5" thickBot="1">
      <c r="A78" s="62" t="s">
        <v>81</v>
      </c>
      <c r="B78" s="63">
        <v>6</v>
      </c>
      <c r="C78" s="63">
        <v>1</v>
      </c>
      <c r="D78" s="64">
        <v>1</v>
      </c>
      <c r="E78" s="64">
        <v>45</v>
      </c>
      <c r="F78" s="31">
        <v>2.35</v>
      </c>
      <c r="G78" s="64">
        <f t="shared" si="18"/>
        <v>105.75</v>
      </c>
      <c r="H78" s="64">
        <f t="shared" si="14"/>
        <v>8.8125</v>
      </c>
      <c r="I78" s="63">
        <v>9</v>
      </c>
      <c r="J78" s="63"/>
      <c r="K78" s="63"/>
      <c r="L78" s="63">
        <v>9</v>
      </c>
      <c r="M78" s="13"/>
      <c r="N78" s="13"/>
      <c r="O78" s="13"/>
      <c r="P78" s="13"/>
      <c r="Q78" s="13"/>
      <c r="R78" s="12"/>
      <c r="S78" s="12"/>
      <c r="T78" s="12"/>
      <c r="U78" s="12"/>
      <c r="V78" s="1"/>
      <c r="W78" s="1"/>
      <c r="X78" s="1"/>
      <c r="Y78" s="1"/>
    </row>
    <row r="79" spans="1:25" s="2" customFormat="1" ht="13.5" thickBot="1">
      <c r="A79" s="62" t="s">
        <v>81</v>
      </c>
      <c r="B79" s="63">
        <v>6</v>
      </c>
      <c r="C79" s="63">
        <v>1</v>
      </c>
      <c r="D79" s="64">
        <v>1</v>
      </c>
      <c r="E79" s="64">
        <v>12</v>
      </c>
      <c r="F79" s="31">
        <v>6.8</v>
      </c>
      <c r="G79" s="64">
        <f t="shared" si="18"/>
        <v>81.599999999999994</v>
      </c>
      <c r="H79" s="64">
        <f t="shared" si="14"/>
        <v>6.8</v>
      </c>
      <c r="I79" s="63">
        <v>7</v>
      </c>
      <c r="J79" s="63"/>
      <c r="K79" s="63"/>
      <c r="L79" s="63">
        <v>7</v>
      </c>
      <c r="M79" s="13"/>
      <c r="N79" s="13"/>
      <c r="O79" s="13"/>
      <c r="P79" s="13"/>
      <c r="Q79" s="13"/>
      <c r="R79" s="12"/>
      <c r="S79" s="12"/>
      <c r="T79" s="12"/>
      <c r="U79" s="12"/>
      <c r="V79" s="1"/>
      <c r="W79" s="1"/>
      <c r="X79" s="1"/>
      <c r="Y79" s="1"/>
    </row>
    <row r="80" spans="1:25" s="2" customFormat="1" ht="13.5" thickBot="1">
      <c r="A80" s="62" t="s">
        <v>81</v>
      </c>
      <c r="B80" s="63">
        <v>6</v>
      </c>
      <c r="C80" s="63">
        <v>1</v>
      </c>
      <c r="D80" s="64">
        <v>1</v>
      </c>
      <c r="E80" s="64">
        <v>7</v>
      </c>
      <c r="F80" s="31">
        <v>3.6</v>
      </c>
      <c r="G80" s="64">
        <f t="shared" si="18"/>
        <v>25.2</v>
      </c>
      <c r="H80" s="64">
        <f t="shared" si="14"/>
        <v>2.1</v>
      </c>
      <c r="I80" s="63">
        <v>2</v>
      </c>
      <c r="J80" s="63"/>
      <c r="K80" s="63"/>
      <c r="L80" s="63">
        <v>2</v>
      </c>
      <c r="M80" s="13"/>
      <c r="N80" s="13"/>
      <c r="O80" s="13"/>
      <c r="P80" s="13"/>
      <c r="Q80" s="13"/>
      <c r="R80" s="12"/>
      <c r="S80" s="12"/>
      <c r="T80" s="12"/>
      <c r="U80" s="12"/>
      <c r="V80" s="1"/>
      <c r="W80" s="1"/>
      <c r="X80" s="1"/>
      <c r="Y80" s="1"/>
    </row>
    <row r="81" spans="1:25" s="2" customFormat="1" ht="13.5" thickBot="1">
      <c r="A81" s="62" t="s">
        <v>81</v>
      </c>
      <c r="B81" s="63">
        <v>6</v>
      </c>
      <c r="C81" s="63">
        <v>1</v>
      </c>
      <c r="D81" s="64">
        <v>1</v>
      </c>
      <c r="E81" s="64">
        <v>23</v>
      </c>
      <c r="F81" s="31">
        <v>1.5</v>
      </c>
      <c r="G81" s="64">
        <f t="shared" si="18"/>
        <v>34.5</v>
      </c>
      <c r="H81" s="64">
        <f t="shared" si="14"/>
        <v>2.875</v>
      </c>
      <c r="I81" s="63">
        <v>3</v>
      </c>
      <c r="J81" s="63"/>
      <c r="K81" s="63"/>
      <c r="L81" s="63">
        <v>3</v>
      </c>
      <c r="M81" s="13"/>
      <c r="N81" s="13"/>
      <c r="O81" s="13"/>
      <c r="P81" s="13"/>
      <c r="Q81" s="13"/>
      <c r="R81" s="12"/>
      <c r="S81" s="12"/>
      <c r="T81" s="12"/>
      <c r="U81" s="12"/>
      <c r="V81" s="1"/>
      <c r="W81" s="1"/>
      <c r="X81" s="1"/>
      <c r="Y81" s="1"/>
    </row>
    <row r="82" spans="1:25" s="2" customFormat="1" ht="13.5" thickBot="1">
      <c r="A82" s="62" t="s">
        <v>82</v>
      </c>
      <c r="B82" s="63">
        <v>6</v>
      </c>
      <c r="C82" s="63">
        <v>1</v>
      </c>
      <c r="D82" s="64">
        <v>1</v>
      </c>
      <c r="E82" s="64">
        <v>33</v>
      </c>
      <c r="F82" s="31">
        <v>6.8</v>
      </c>
      <c r="G82" s="64">
        <f t="shared" si="18"/>
        <v>224.4</v>
      </c>
      <c r="H82" s="64">
        <f t="shared" si="14"/>
        <v>18.7</v>
      </c>
      <c r="I82" s="63">
        <v>19</v>
      </c>
      <c r="J82" s="63"/>
      <c r="K82" s="63"/>
      <c r="L82" s="63">
        <v>19</v>
      </c>
      <c r="M82" s="13"/>
      <c r="N82" s="13"/>
      <c r="O82" s="13"/>
      <c r="P82" s="13"/>
      <c r="Q82" s="13"/>
      <c r="R82" s="12"/>
      <c r="S82" s="12"/>
      <c r="T82" s="12"/>
      <c r="U82" s="12"/>
      <c r="V82" s="1"/>
      <c r="W82" s="1"/>
      <c r="X82" s="1"/>
      <c r="Y82" s="1"/>
    </row>
    <row r="83" spans="1:25" s="2" customFormat="1" ht="13.5" thickBot="1">
      <c r="A83" s="62" t="s">
        <v>67</v>
      </c>
      <c r="B83" s="63">
        <v>6</v>
      </c>
      <c r="C83" s="63">
        <v>1</v>
      </c>
      <c r="D83" s="64">
        <v>1</v>
      </c>
      <c r="E83" s="64">
        <v>23</v>
      </c>
      <c r="F83" s="31">
        <v>1.42</v>
      </c>
      <c r="G83" s="64">
        <f t="shared" si="18"/>
        <v>32.659999999999997</v>
      </c>
      <c r="H83" s="64">
        <f t="shared" si="14"/>
        <v>2.7216666666666662</v>
      </c>
      <c r="I83" s="63">
        <v>3</v>
      </c>
      <c r="J83" s="63"/>
      <c r="K83" s="63"/>
      <c r="L83" s="63">
        <v>3</v>
      </c>
      <c r="M83" s="13"/>
      <c r="N83" s="13"/>
      <c r="O83" s="13"/>
      <c r="P83" s="13"/>
      <c r="Q83" s="13"/>
      <c r="R83" s="12"/>
      <c r="S83" s="12"/>
      <c r="T83" s="12"/>
      <c r="U83" s="12"/>
      <c r="V83" s="1"/>
      <c r="W83" s="1"/>
      <c r="X83" s="1"/>
      <c r="Y83" s="1"/>
    </row>
    <row r="84" spans="1:25" s="2" customFormat="1" ht="13.5" thickBot="1">
      <c r="A84" s="62" t="s">
        <v>67</v>
      </c>
      <c r="B84" s="63">
        <v>6</v>
      </c>
      <c r="C84" s="63">
        <v>1</v>
      </c>
      <c r="D84" s="64">
        <v>1</v>
      </c>
      <c r="E84" s="64">
        <v>23</v>
      </c>
      <c r="F84" s="31">
        <v>0.21</v>
      </c>
      <c r="G84" s="64">
        <f t="shared" si="18"/>
        <v>4.83</v>
      </c>
      <c r="H84" s="64">
        <f t="shared" si="14"/>
        <v>0.40250000000000002</v>
      </c>
      <c r="I84" s="63">
        <v>1</v>
      </c>
      <c r="J84" s="63"/>
      <c r="K84" s="63"/>
      <c r="L84" s="63">
        <v>1</v>
      </c>
      <c r="M84" s="13"/>
      <c r="N84" s="13"/>
      <c r="O84" s="13"/>
      <c r="P84" s="13"/>
      <c r="Q84" s="13"/>
      <c r="R84" s="12"/>
      <c r="S84" s="12"/>
      <c r="T84" s="12"/>
      <c r="U84" s="12"/>
      <c r="V84" s="1"/>
      <c r="W84" s="1"/>
      <c r="X84" s="1"/>
      <c r="Y84" s="1"/>
    </row>
    <row r="85" spans="1:25" s="2" customFormat="1" ht="13.5" thickBot="1">
      <c r="A85" s="62" t="s">
        <v>67</v>
      </c>
      <c r="B85" s="63">
        <v>6</v>
      </c>
      <c r="C85" s="63">
        <v>1</v>
      </c>
      <c r="D85" s="64">
        <v>1</v>
      </c>
      <c r="E85" s="64">
        <v>23</v>
      </c>
      <c r="F85" s="31">
        <v>1.72</v>
      </c>
      <c r="G85" s="64">
        <f t="shared" si="18"/>
        <v>39.56</v>
      </c>
      <c r="H85" s="64">
        <f t="shared" si="14"/>
        <v>3.2966666666666669</v>
      </c>
      <c r="I85" s="63">
        <v>4</v>
      </c>
      <c r="J85" s="63"/>
      <c r="K85" s="63"/>
      <c r="L85" s="63">
        <v>4</v>
      </c>
      <c r="M85" s="13"/>
      <c r="N85" s="13"/>
      <c r="O85" s="13"/>
      <c r="P85" s="13"/>
      <c r="Q85" s="13"/>
      <c r="R85" s="12"/>
      <c r="S85" s="12"/>
      <c r="T85" s="12"/>
      <c r="U85" s="12"/>
      <c r="V85" s="1"/>
      <c r="W85" s="1"/>
      <c r="X85" s="1"/>
      <c r="Y85" s="1"/>
    </row>
    <row r="86" spans="1:25" s="2" customFormat="1" ht="13.5" thickBot="1">
      <c r="A86" s="62" t="s">
        <v>67</v>
      </c>
      <c r="B86" s="63">
        <v>6</v>
      </c>
      <c r="C86" s="63">
        <v>1</v>
      </c>
      <c r="D86" s="64">
        <v>1</v>
      </c>
      <c r="E86" s="64">
        <v>23</v>
      </c>
      <c r="F86" s="31">
        <v>0.21</v>
      </c>
      <c r="G86" s="64">
        <f t="shared" si="18"/>
        <v>4.83</v>
      </c>
      <c r="H86" s="64">
        <f t="shared" si="14"/>
        <v>0.40250000000000002</v>
      </c>
      <c r="I86" s="63"/>
      <c r="J86" s="63"/>
      <c r="K86" s="63"/>
      <c r="L86" s="63"/>
      <c r="M86" s="13"/>
      <c r="N86" s="13"/>
      <c r="O86" s="13"/>
      <c r="P86" s="13"/>
      <c r="Q86" s="13"/>
      <c r="R86" s="12"/>
      <c r="S86" s="12"/>
      <c r="T86" s="12"/>
      <c r="U86" s="12"/>
      <c r="V86" s="1"/>
      <c r="W86" s="1"/>
      <c r="X86" s="1"/>
      <c r="Y86" s="1"/>
    </row>
    <row r="87" spans="1:25" s="24" customFormat="1" ht="13.5" thickBot="1">
      <c r="A87" s="24" t="s">
        <v>67</v>
      </c>
      <c r="B87" s="27">
        <v>6</v>
      </c>
      <c r="C87" s="27">
        <v>1</v>
      </c>
      <c r="D87" s="69">
        <v>1</v>
      </c>
      <c r="E87" s="69">
        <v>23</v>
      </c>
      <c r="F87" s="69">
        <v>1.72</v>
      </c>
      <c r="G87" s="69">
        <f t="shared" si="18"/>
        <v>39.56</v>
      </c>
      <c r="H87" s="69">
        <f t="shared" si="14"/>
        <v>3.2966666666666669</v>
      </c>
      <c r="I87" s="27">
        <v>3</v>
      </c>
      <c r="J87" s="27"/>
      <c r="K87" s="27"/>
      <c r="L87" s="27">
        <v>3</v>
      </c>
      <c r="M87" s="68"/>
      <c r="N87" s="68"/>
      <c r="O87" s="68"/>
      <c r="P87" s="68"/>
      <c r="Q87" s="68"/>
    </row>
    <row r="88" spans="1:25" s="24" customFormat="1" ht="13.5" thickBot="1">
      <c r="A88" s="24" t="s">
        <v>67</v>
      </c>
      <c r="B88" s="27">
        <v>6</v>
      </c>
      <c r="C88" s="27">
        <v>1</v>
      </c>
      <c r="D88" s="69">
        <v>1</v>
      </c>
      <c r="E88" s="69">
        <v>23</v>
      </c>
      <c r="F88" s="69">
        <v>0.21</v>
      </c>
      <c r="G88" s="69">
        <f t="shared" si="18"/>
        <v>4.83</v>
      </c>
      <c r="H88" s="69">
        <f>+G88/$G$2</f>
        <v>0.40250000000000002</v>
      </c>
      <c r="I88" s="27"/>
      <c r="J88" s="27"/>
      <c r="K88" s="27"/>
      <c r="L88" s="27"/>
      <c r="M88" s="68"/>
      <c r="N88" s="68"/>
      <c r="O88" s="68"/>
      <c r="P88" s="68"/>
      <c r="Q88" s="68"/>
    </row>
    <row r="89" spans="1:25" s="24" customFormat="1" ht="13.5" thickBot="1">
      <c r="A89" s="24" t="s">
        <v>67</v>
      </c>
      <c r="B89" s="27">
        <v>6</v>
      </c>
      <c r="C89" s="27">
        <v>1</v>
      </c>
      <c r="D89" s="69">
        <v>1</v>
      </c>
      <c r="E89" s="69">
        <v>23</v>
      </c>
      <c r="F89" s="69">
        <v>1.72</v>
      </c>
      <c r="G89" s="69">
        <f t="shared" si="18"/>
        <v>39.56</v>
      </c>
      <c r="H89" s="69">
        <f t="shared" si="14"/>
        <v>3.2966666666666669</v>
      </c>
      <c r="I89" s="27">
        <v>3</v>
      </c>
      <c r="J89" s="27"/>
      <c r="K89" s="27"/>
      <c r="L89" s="27">
        <v>3</v>
      </c>
      <c r="M89" s="68"/>
      <c r="N89" s="68"/>
      <c r="O89" s="68"/>
      <c r="P89" s="68"/>
      <c r="Q89" s="68"/>
    </row>
    <row r="90" spans="1:25" s="24" customFormat="1" ht="13.5" thickBot="1">
      <c r="A90" s="24" t="s">
        <v>67</v>
      </c>
      <c r="B90" s="27">
        <v>6</v>
      </c>
      <c r="C90" s="27">
        <v>1</v>
      </c>
      <c r="D90" s="69">
        <v>1</v>
      </c>
      <c r="E90" s="69">
        <v>23</v>
      </c>
      <c r="F90" s="69">
        <v>0.78</v>
      </c>
      <c r="G90" s="69">
        <f t="shared" ref="G90:G121" si="19">+F90*E90</f>
        <v>17.940000000000001</v>
      </c>
      <c r="H90" s="69">
        <f t="shared" ref="H90:H132" si="20">+G90/$G$2</f>
        <v>1.4950000000000001</v>
      </c>
      <c r="I90" s="27">
        <v>2</v>
      </c>
      <c r="J90" s="27"/>
      <c r="K90" s="27"/>
      <c r="L90" s="27">
        <v>2</v>
      </c>
      <c r="M90" s="68"/>
      <c r="N90" s="68"/>
      <c r="O90" s="68"/>
      <c r="P90" s="68"/>
      <c r="Q90" s="68"/>
    </row>
    <row r="91" spans="1:25" s="24" customFormat="1" ht="13.5" thickBot="1">
      <c r="A91" s="24" t="s">
        <v>67</v>
      </c>
      <c r="B91" s="27">
        <v>6</v>
      </c>
      <c r="C91" s="27">
        <v>1</v>
      </c>
      <c r="D91" s="69">
        <v>1</v>
      </c>
      <c r="E91" s="69">
        <v>21</v>
      </c>
      <c r="F91" s="69">
        <v>1.44</v>
      </c>
      <c r="G91" s="69">
        <f t="shared" si="19"/>
        <v>30.24</v>
      </c>
      <c r="H91" s="69">
        <f t="shared" si="14"/>
        <v>2.52</v>
      </c>
      <c r="I91" s="27">
        <v>2</v>
      </c>
      <c r="J91" s="27"/>
      <c r="K91" s="27"/>
      <c r="L91" s="27">
        <v>2</v>
      </c>
      <c r="M91" s="68"/>
      <c r="N91" s="68"/>
      <c r="O91" s="68"/>
      <c r="P91" s="68"/>
      <c r="Q91" s="68"/>
    </row>
    <row r="92" spans="1:25" s="24" customFormat="1" ht="13.5" thickBot="1">
      <c r="A92" s="24" t="s">
        <v>67</v>
      </c>
      <c r="B92" s="27">
        <v>6</v>
      </c>
      <c r="C92" s="27">
        <v>1</v>
      </c>
      <c r="D92" s="69">
        <v>1</v>
      </c>
      <c r="E92" s="69">
        <v>21</v>
      </c>
      <c r="F92" s="69">
        <v>0.22</v>
      </c>
      <c r="G92" s="69">
        <f t="shared" si="19"/>
        <v>4.62</v>
      </c>
      <c r="H92" s="69">
        <f t="shared" si="20"/>
        <v>0.38500000000000001</v>
      </c>
      <c r="I92" s="27">
        <v>1</v>
      </c>
      <c r="J92" s="27"/>
      <c r="K92" s="27"/>
      <c r="L92" s="27">
        <v>1</v>
      </c>
      <c r="M92" s="68"/>
      <c r="N92" s="68"/>
      <c r="O92" s="68"/>
      <c r="P92" s="68"/>
      <c r="Q92" s="68"/>
    </row>
    <row r="93" spans="1:25" s="24" customFormat="1" ht="13.5" thickBot="1">
      <c r="A93" s="24" t="s">
        <v>83</v>
      </c>
      <c r="B93" s="27">
        <v>6</v>
      </c>
      <c r="C93" s="27">
        <v>1</v>
      </c>
      <c r="D93" s="69">
        <v>1</v>
      </c>
      <c r="E93" s="69">
        <v>10</v>
      </c>
      <c r="F93" s="69">
        <v>1.22</v>
      </c>
      <c r="G93" s="69">
        <f t="shared" si="19"/>
        <v>12.2</v>
      </c>
      <c r="H93" s="69">
        <f t="shared" si="20"/>
        <v>1.0166666666666666</v>
      </c>
      <c r="I93" s="27">
        <v>1</v>
      </c>
      <c r="J93" s="27"/>
      <c r="K93" s="27"/>
      <c r="L93" s="27">
        <v>1</v>
      </c>
      <c r="M93" s="68"/>
      <c r="N93" s="68"/>
      <c r="O93" s="68"/>
      <c r="P93" s="68"/>
      <c r="Q93" s="68"/>
    </row>
    <row r="94" spans="1:25" s="24" customFormat="1" ht="13.5" thickBot="1">
      <c r="A94" s="24" t="s">
        <v>84</v>
      </c>
      <c r="B94" s="27">
        <v>6</v>
      </c>
      <c r="C94" s="27">
        <v>1</v>
      </c>
      <c r="D94" s="69">
        <v>1</v>
      </c>
      <c r="E94" s="69">
        <v>8</v>
      </c>
      <c r="F94" s="69">
        <v>1.22</v>
      </c>
      <c r="G94" s="69">
        <f t="shared" si="19"/>
        <v>9.76</v>
      </c>
      <c r="H94" s="69">
        <f t="shared" si="20"/>
        <v>0.81333333333333335</v>
      </c>
      <c r="I94" s="27">
        <v>1</v>
      </c>
      <c r="J94" s="27"/>
      <c r="K94" s="27"/>
      <c r="L94" s="27">
        <v>1</v>
      </c>
      <c r="M94" s="68"/>
      <c r="N94" s="68"/>
      <c r="O94" s="68"/>
      <c r="P94" s="68"/>
      <c r="Q94" s="68"/>
    </row>
    <row r="95" spans="1:25" s="24" customFormat="1" ht="13.5" thickBot="1">
      <c r="A95" s="24" t="s">
        <v>85</v>
      </c>
      <c r="B95" s="27">
        <v>6</v>
      </c>
      <c r="C95" s="27">
        <v>1</v>
      </c>
      <c r="D95" s="69">
        <v>1</v>
      </c>
      <c r="E95" s="69">
        <v>22</v>
      </c>
      <c r="F95" s="69">
        <v>1.82</v>
      </c>
      <c r="G95" s="69">
        <f t="shared" si="19"/>
        <v>40.04</v>
      </c>
      <c r="H95" s="69">
        <f t="shared" si="20"/>
        <v>3.3366666666666664</v>
      </c>
      <c r="I95" s="27">
        <v>3</v>
      </c>
      <c r="J95" s="27"/>
      <c r="K95" s="27"/>
      <c r="L95" s="27">
        <v>3</v>
      </c>
      <c r="M95" s="68"/>
      <c r="N95" s="68"/>
      <c r="O95" s="68"/>
      <c r="P95" s="68"/>
      <c r="Q95" s="68"/>
    </row>
    <row r="96" spans="1:25" s="24" customFormat="1" ht="13.5" thickBot="1">
      <c r="A96" s="24" t="s">
        <v>86</v>
      </c>
      <c r="B96" s="27">
        <v>6</v>
      </c>
      <c r="C96" s="27">
        <v>1</v>
      </c>
      <c r="D96" s="69">
        <v>1</v>
      </c>
      <c r="E96" s="69">
        <v>22</v>
      </c>
      <c r="F96" s="69">
        <v>1.22</v>
      </c>
      <c r="G96" s="69">
        <f t="shared" si="19"/>
        <v>26.84</v>
      </c>
      <c r="H96" s="69">
        <f t="shared" si="20"/>
        <v>2.2366666666666668</v>
      </c>
      <c r="I96" s="27">
        <v>2</v>
      </c>
      <c r="J96" s="27"/>
      <c r="K96" s="27"/>
      <c r="L96" s="27">
        <v>2</v>
      </c>
      <c r="M96" s="68"/>
      <c r="N96" s="68"/>
      <c r="O96" s="68"/>
      <c r="P96" s="68"/>
      <c r="Q96" s="68"/>
    </row>
    <row r="97" spans="1:17" s="24" customFormat="1" ht="13.5" thickBot="1">
      <c r="A97" s="24" t="s">
        <v>87</v>
      </c>
      <c r="B97" s="27">
        <v>6</v>
      </c>
      <c r="C97" s="27">
        <v>1</v>
      </c>
      <c r="D97" s="69">
        <v>1</v>
      </c>
      <c r="E97" s="69">
        <v>20</v>
      </c>
      <c r="F97" s="69">
        <v>6.85</v>
      </c>
      <c r="G97" s="69">
        <f t="shared" si="19"/>
        <v>137</v>
      </c>
      <c r="H97" s="69">
        <f t="shared" si="20"/>
        <v>11.416666666666666</v>
      </c>
      <c r="I97" s="27">
        <v>12</v>
      </c>
      <c r="J97" s="27"/>
      <c r="K97" s="27"/>
      <c r="L97" s="27">
        <v>12</v>
      </c>
      <c r="M97" s="68"/>
      <c r="N97" s="68"/>
      <c r="O97" s="68"/>
      <c r="P97" s="68"/>
      <c r="Q97" s="68"/>
    </row>
    <row r="98" spans="1:17" s="24" customFormat="1" ht="13.5" thickBot="1">
      <c r="A98" s="24" t="s">
        <v>88</v>
      </c>
      <c r="B98" s="27">
        <v>6</v>
      </c>
      <c r="C98" s="27">
        <v>1</v>
      </c>
      <c r="D98" s="69">
        <v>1</v>
      </c>
      <c r="E98" s="69">
        <v>24</v>
      </c>
      <c r="F98" s="69">
        <v>0.72</v>
      </c>
      <c r="G98" s="69">
        <f t="shared" si="19"/>
        <v>17.28</v>
      </c>
      <c r="H98" s="69">
        <f t="shared" si="20"/>
        <v>1.4400000000000002</v>
      </c>
      <c r="I98" s="27">
        <v>1</v>
      </c>
      <c r="J98" s="27"/>
      <c r="K98" s="27"/>
      <c r="L98" s="27">
        <v>1</v>
      </c>
      <c r="M98" s="68"/>
      <c r="N98" s="68"/>
      <c r="O98" s="68"/>
      <c r="P98" s="68"/>
      <c r="Q98" s="68"/>
    </row>
    <row r="99" spans="1:17" s="24" customFormat="1" ht="13.5" thickBot="1">
      <c r="A99" s="24" t="s">
        <v>89</v>
      </c>
      <c r="B99" s="27">
        <v>6</v>
      </c>
      <c r="C99" s="27">
        <v>1</v>
      </c>
      <c r="D99" s="69">
        <v>1</v>
      </c>
      <c r="E99" s="69">
        <v>24</v>
      </c>
      <c r="F99" s="69">
        <v>0.8</v>
      </c>
      <c r="G99" s="69">
        <f t="shared" si="19"/>
        <v>19.200000000000003</v>
      </c>
      <c r="H99" s="69">
        <f t="shared" si="20"/>
        <v>1.6000000000000003</v>
      </c>
      <c r="I99" s="27">
        <v>2</v>
      </c>
      <c r="J99" s="27"/>
      <c r="K99" s="27"/>
      <c r="L99" s="27">
        <v>2</v>
      </c>
      <c r="M99" s="68"/>
      <c r="N99" s="68"/>
      <c r="O99" s="68"/>
      <c r="P99" s="68"/>
      <c r="Q99" s="68"/>
    </row>
    <row r="100" spans="1:17" s="24" customFormat="1" ht="13.5" thickBot="1">
      <c r="A100" s="24" t="s">
        <v>90</v>
      </c>
      <c r="B100" s="27">
        <v>6</v>
      </c>
      <c r="C100" s="27">
        <v>1</v>
      </c>
      <c r="D100" s="69">
        <v>1</v>
      </c>
      <c r="E100" s="69">
        <v>28</v>
      </c>
      <c r="F100" s="69">
        <v>1.42</v>
      </c>
      <c r="G100" s="69">
        <f t="shared" si="19"/>
        <v>39.76</v>
      </c>
      <c r="H100" s="69">
        <f t="shared" si="20"/>
        <v>3.313333333333333</v>
      </c>
      <c r="I100" s="27">
        <v>4</v>
      </c>
      <c r="J100" s="27"/>
      <c r="K100" s="27"/>
      <c r="L100" s="27">
        <v>4</v>
      </c>
      <c r="M100" s="68"/>
      <c r="N100" s="68"/>
      <c r="O100" s="68"/>
      <c r="P100" s="68"/>
      <c r="Q100" s="68"/>
    </row>
    <row r="101" spans="1:17" s="24" customFormat="1" ht="13.5" thickBot="1">
      <c r="A101" s="24" t="s">
        <v>90</v>
      </c>
      <c r="B101" s="27">
        <v>6</v>
      </c>
      <c r="C101" s="27">
        <v>1</v>
      </c>
      <c r="D101" s="69">
        <v>1</v>
      </c>
      <c r="E101" s="69">
        <v>28</v>
      </c>
      <c r="F101" s="69">
        <v>0.21</v>
      </c>
      <c r="G101" s="69">
        <f t="shared" si="19"/>
        <v>5.88</v>
      </c>
      <c r="H101" s="69">
        <f t="shared" si="20"/>
        <v>0.49</v>
      </c>
      <c r="I101" s="27"/>
      <c r="J101" s="27"/>
      <c r="K101" s="27"/>
      <c r="L101" s="27"/>
      <c r="M101" s="68"/>
      <c r="N101" s="68"/>
      <c r="O101" s="68"/>
      <c r="P101" s="68"/>
      <c r="Q101" s="68"/>
    </row>
    <row r="102" spans="1:17" s="24" customFormat="1" ht="13.5" thickBot="1">
      <c r="A102" s="24" t="s">
        <v>91</v>
      </c>
      <c r="B102" s="27">
        <v>6</v>
      </c>
      <c r="C102" s="27">
        <v>1</v>
      </c>
      <c r="D102" s="69">
        <v>1</v>
      </c>
      <c r="E102" s="69">
        <v>28</v>
      </c>
      <c r="F102" s="69">
        <v>3.96</v>
      </c>
      <c r="G102" s="69">
        <f t="shared" si="19"/>
        <v>110.88</v>
      </c>
      <c r="H102" s="69">
        <f t="shared" si="20"/>
        <v>9.24</v>
      </c>
      <c r="I102" s="27">
        <v>1</v>
      </c>
      <c r="J102" s="27"/>
      <c r="K102" s="27"/>
      <c r="L102" s="27">
        <v>1</v>
      </c>
      <c r="M102" s="68"/>
      <c r="N102" s="68"/>
      <c r="O102" s="68"/>
      <c r="P102" s="68"/>
      <c r="Q102" s="68"/>
    </row>
    <row r="103" spans="1:17" s="24" customFormat="1" ht="13.5" thickBot="1">
      <c r="A103" s="24" t="s">
        <v>91</v>
      </c>
      <c r="B103" s="27">
        <v>6</v>
      </c>
      <c r="C103" s="27">
        <v>1</v>
      </c>
      <c r="D103" s="69">
        <v>1</v>
      </c>
      <c r="E103" s="69">
        <v>56</v>
      </c>
      <c r="F103" s="69">
        <v>0.24</v>
      </c>
      <c r="G103" s="69">
        <f t="shared" si="19"/>
        <v>13.44</v>
      </c>
      <c r="H103" s="69">
        <f t="shared" si="20"/>
        <v>1.1199999999999999</v>
      </c>
      <c r="I103" s="27">
        <v>1</v>
      </c>
      <c r="J103" s="27"/>
      <c r="K103" s="27"/>
      <c r="L103" s="27">
        <v>1</v>
      </c>
      <c r="M103" s="68"/>
      <c r="N103" s="68"/>
      <c r="O103" s="68"/>
      <c r="P103" s="68"/>
      <c r="Q103" s="68"/>
    </row>
    <row r="104" spans="1:17" s="71" customFormat="1" ht="13.5" thickBot="1">
      <c r="A104" s="71" t="s">
        <v>92</v>
      </c>
      <c r="B104" s="72">
        <v>6</v>
      </c>
      <c r="C104" s="72">
        <v>1</v>
      </c>
      <c r="D104" s="73">
        <v>1</v>
      </c>
      <c r="E104" s="73">
        <v>58</v>
      </c>
      <c r="F104" s="73">
        <v>1.42</v>
      </c>
      <c r="G104" s="73">
        <f t="shared" si="19"/>
        <v>82.36</v>
      </c>
      <c r="H104" s="73">
        <f t="shared" si="20"/>
        <v>6.8633333333333333</v>
      </c>
      <c r="I104" s="72">
        <v>7</v>
      </c>
      <c r="J104" s="72"/>
      <c r="K104" s="72"/>
      <c r="L104" s="72">
        <v>7</v>
      </c>
      <c r="M104" s="74"/>
      <c r="N104" s="74"/>
      <c r="O104" s="74"/>
      <c r="P104" s="74"/>
      <c r="Q104" s="74"/>
    </row>
    <row r="105" spans="1:17" s="71" customFormat="1" ht="13.5" thickBot="1">
      <c r="A105" s="71" t="s">
        <v>93</v>
      </c>
      <c r="B105" s="72">
        <v>6</v>
      </c>
      <c r="C105" s="72">
        <v>1</v>
      </c>
      <c r="D105" s="73">
        <v>1</v>
      </c>
      <c r="E105" s="73">
        <v>18</v>
      </c>
      <c r="F105" s="73">
        <v>1.42</v>
      </c>
      <c r="G105" s="73">
        <f t="shared" si="19"/>
        <v>25.56</v>
      </c>
      <c r="H105" s="73">
        <f t="shared" si="20"/>
        <v>2.13</v>
      </c>
      <c r="I105" s="72">
        <v>2</v>
      </c>
      <c r="J105" s="72"/>
      <c r="K105" s="72"/>
      <c r="L105" s="72">
        <v>2</v>
      </c>
      <c r="M105" s="74"/>
      <c r="N105" s="74"/>
      <c r="O105" s="74"/>
      <c r="P105" s="74"/>
      <c r="Q105" s="74"/>
    </row>
    <row r="106" spans="1:17" s="71" customFormat="1" ht="13.5" thickBot="1">
      <c r="A106" s="71" t="s">
        <v>94</v>
      </c>
      <c r="B106" s="72">
        <v>6</v>
      </c>
      <c r="C106" s="72">
        <v>1</v>
      </c>
      <c r="D106" s="73">
        <v>1</v>
      </c>
      <c r="E106" s="73">
        <v>6</v>
      </c>
      <c r="F106" s="73">
        <v>1.42</v>
      </c>
      <c r="G106" s="73">
        <f t="shared" si="19"/>
        <v>8.52</v>
      </c>
      <c r="H106" s="73">
        <f t="shared" si="20"/>
        <v>0.71</v>
      </c>
      <c r="I106" s="72">
        <v>1</v>
      </c>
      <c r="J106" s="72"/>
      <c r="K106" s="72"/>
      <c r="L106" s="72">
        <v>1</v>
      </c>
      <c r="M106" s="74"/>
      <c r="N106" s="74"/>
      <c r="O106" s="74"/>
      <c r="P106" s="74"/>
      <c r="Q106" s="74"/>
    </row>
    <row r="107" spans="1:17" s="71" customFormat="1" ht="13.5" thickBot="1">
      <c r="A107" s="71" t="s">
        <v>95</v>
      </c>
      <c r="B107" s="72">
        <v>6</v>
      </c>
      <c r="C107" s="72">
        <v>1</v>
      </c>
      <c r="D107" s="73">
        <v>1</v>
      </c>
      <c r="E107" s="73">
        <v>7</v>
      </c>
      <c r="F107" s="73">
        <v>1.02</v>
      </c>
      <c r="G107" s="73">
        <f t="shared" si="19"/>
        <v>7.1400000000000006</v>
      </c>
      <c r="H107" s="73">
        <f t="shared" si="20"/>
        <v>0.59500000000000008</v>
      </c>
      <c r="I107" s="72">
        <v>1</v>
      </c>
      <c r="J107" s="72"/>
      <c r="K107" s="72"/>
      <c r="L107" s="72">
        <v>1</v>
      </c>
      <c r="M107" s="74"/>
      <c r="N107" s="74"/>
      <c r="O107" s="74"/>
      <c r="P107" s="74"/>
      <c r="Q107" s="74"/>
    </row>
    <row r="108" spans="1:17" s="71" customFormat="1" ht="13.5" thickBot="1">
      <c r="A108" s="71" t="s">
        <v>96</v>
      </c>
      <c r="B108" s="72">
        <v>6</v>
      </c>
      <c r="C108" s="72">
        <v>1</v>
      </c>
      <c r="D108" s="73">
        <v>1</v>
      </c>
      <c r="E108" s="73">
        <v>64</v>
      </c>
      <c r="F108" s="73">
        <v>1.42</v>
      </c>
      <c r="G108" s="73">
        <f t="shared" si="19"/>
        <v>90.88</v>
      </c>
      <c r="H108" s="73">
        <f t="shared" si="20"/>
        <v>7.5733333333333333</v>
      </c>
      <c r="I108" s="72">
        <v>8</v>
      </c>
      <c r="J108" s="72"/>
      <c r="K108" s="72"/>
      <c r="L108" s="72">
        <v>8</v>
      </c>
      <c r="M108" s="74"/>
      <c r="N108" s="74"/>
      <c r="O108" s="74"/>
      <c r="P108" s="74"/>
      <c r="Q108" s="74"/>
    </row>
    <row r="109" spans="1:17" s="71" customFormat="1" ht="13.5" thickBot="1">
      <c r="A109" s="71" t="s">
        <v>97</v>
      </c>
      <c r="B109" s="72">
        <v>6</v>
      </c>
      <c r="C109" s="72">
        <v>1</v>
      </c>
      <c r="D109" s="73">
        <v>1</v>
      </c>
      <c r="E109" s="73">
        <v>6</v>
      </c>
      <c r="F109" s="73">
        <v>1.42</v>
      </c>
      <c r="G109" s="73">
        <f t="shared" si="19"/>
        <v>8.52</v>
      </c>
      <c r="H109" s="73">
        <f t="shared" si="20"/>
        <v>0.71</v>
      </c>
      <c r="I109" s="72"/>
      <c r="J109" s="72"/>
      <c r="K109" s="72"/>
      <c r="L109" s="72"/>
      <c r="M109" s="74"/>
      <c r="N109" s="74"/>
      <c r="O109" s="74"/>
      <c r="P109" s="74"/>
      <c r="Q109" s="74"/>
    </row>
    <row r="110" spans="1:17" s="71" customFormat="1" ht="13.5" thickBot="1">
      <c r="A110" s="71" t="s">
        <v>98</v>
      </c>
      <c r="B110" s="72">
        <v>6</v>
      </c>
      <c r="C110" s="72">
        <v>1</v>
      </c>
      <c r="D110" s="73">
        <v>1</v>
      </c>
      <c r="E110" s="73">
        <v>11</v>
      </c>
      <c r="F110" s="73">
        <v>1.02</v>
      </c>
      <c r="G110" s="73">
        <f t="shared" si="19"/>
        <v>11.22</v>
      </c>
      <c r="H110" s="73">
        <f t="shared" si="20"/>
        <v>0.93500000000000005</v>
      </c>
      <c r="I110" s="72">
        <v>1</v>
      </c>
      <c r="J110" s="72"/>
      <c r="K110" s="72"/>
      <c r="L110" s="72">
        <v>1</v>
      </c>
      <c r="M110" s="74"/>
      <c r="N110" s="74"/>
      <c r="O110" s="74"/>
      <c r="P110" s="74"/>
      <c r="Q110" s="74"/>
    </row>
    <row r="111" spans="1:17" s="71" customFormat="1" ht="13.5" thickBot="1">
      <c r="A111" s="71" t="s">
        <v>99</v>
      </c>
      <c r="B111" s="72">
        <v>6</v>
      </c>
      <c r="C111" s="72">
        <v>1</v>
      </c>
      <c r="D111" s="73">
        <v>1</v>
      </c>
      <c r="E111" s="73">
        <v>28</v>
      </c>
      <c r="F111" s="73">
        <v>1.22</v>
      </c>
      <c r="G111" s="73">
        <f t="shared" si="19"/>
        <v>34.159999999999997</v>
      </c>
      <c r="H111" s="73">
        <f t="shared" si="20"/>
        <v>2.8466666666666662</v>
      </c>
      <c r="I111" s="72">
        <v>3</v>
      </c>
      <c r="J111" s="72"/>
      <c r="K111" s="72"/>
      <c r="L111" s="72">
        <v>3</v>
      </c>
      <c r="M111" s="74"/>
      <c r="N111" s="74"/>
      <c r="O111" s="74"/>
      <c r="P111" s="74"/>
      <c r="Q111" s="74"/>
    </row>
    <row r="112" spans="1:17" s="71" customFormat="1" ht="13.5" thickBot="1">
      <c r="A112" s="71" t="s">
        <v>100</v>
      </c>
      <c r="B112" s="72">
        <v>6</v>
      </c>
      <c r="C112" s="72">
        <v>1</v>
      </c>
      <c r="D112" s="73">
        <v>1</v>
      </c>
      <c r="E112" s="73">
        <v>4</v>
      </c>
      <c r="F112" s="73">
        <v>1.22</v>
      </c>
      <c r="G112" s="73">
        <f t="shared" si="19"/>
        <v>4.88</v>
      </c>
      <c r="H112" s="73">
        <f t="shared" si="20"/>
        <v>0.40666666666666668</v>
      </c>
      <c r="I112" s="72">
        <v>1</v>
      </c>
      <c r="J112" s="72"/>
      <c r="K112" s="72"/>
      <c r="L112" s="72">
        <v>1</v>
      </c>
      <c r="M112" s="74"/>
      <c r="N112" s="74"/>
      <c r="O112" s="74"/>
      <c r="P112" s="74"/>
      <c r="Q112" s="74"/>
    </row>
    <row r="113" spans="1:17" s="71" customFormat="1" ht="13.5" thickBot="1">
      <c r="A113" s="71" t="s">
        <v>101</v>
      </c>
      <c r="B113" s="72">
        <v>6</v>
      </c>
      <c r="C113" s="72">
        <v>1</v>
      </c>
      <c r="D113" s="73">
        <v>1</v>
      </c>
      <c r="E113" s="73">
        <v>4</v>
      </c>
      <c r="F113" s="73">
        <v>9.7100000000000009</v>
      </c>
      <c r="G113" s="73">
        <f t="shared" si="19"/>
        <v>38.840000000000003</v>
      </c>
      <c r="H113" s="73">
        <f t="shared" si="20"/>
        <v>3.2366666666666668</v>
      </c>
      <c r="I113" s="72">
        <v>3</v>
      </c>
      <c r="J113" s="72"/>
      <c r="K113" s="72"/>
      <c r="L113" s="72">
        <v>3</v>
      </c>
      <c r="M113" s="74"/>
      <c r="N113" s="74"/>
      <c r="O113" s="74"/>
      <c r="P113" s="74"/>
      <c r="Q113" s="74"/>
    </row>
    <row r="114" spans="1:17" s="71" customFormat="1" ht="13.5" thickBot="1">
      <c r="A114" s="71" t="s">
        <v>101</v>
      </c>
      <c r="B114" s="72">
        <v>6</v>
      </c>
      <c r="C114" s="72">
        <v>1</v>
      </c>
      <c r="D114" s="73">
        <v>1</v>
      </c>
      <c r="E114" s="73">
        <v>33</v>
      </c>
      <c r="F114" s="73">
        <v>2.02</v>
      </c>
      <c r="G114" s="73">
        <f t="shared" si="19"/>
        <v>66.66</v>
      </c>
      <c r="H114" s="73">
        <f t="shared" si="20"/>
        <v>5.5549999999999997</v>
      </c>
      <c r="I114" s="72">
        <v>5</v>
      </c>
      <c r="J114" s="72"/>
      <c r="K114" s="72"/>
      <c r="L114" s="72">
        <v>5</v>
      </c>
      <c r="M114" s="74"/>
      <c r="N114" s="74"/>
      <c r="O114" s="74"/>
      <c r="P114" s="74"/>
      <c r="Q114" s="74"/>
    </row>
    <row r="115" spans="1:17" s="71" customFormat="1" ht="13.5" thickBot="1">
      <c r="A115" s="71">
        <v>409</v>
      </c>
      <c r="B115" s="72">
        <v>6</v>
      </c>
      <c r="C115" s="72">
        <v>1</v>
      </c>
      <c r="D115" s="73">
        <v>1</v>
      </c>
      <c r="E115" s="73">
        <v>7</v>
      </c>
      <c r="F115" s="73">
        <v>5.4</v>
      </c>
      <c r="G115" s="73">
        <f t="shared" si="19"/>
        <v>37.800000000000004</v>
      </c>
      <c r="H115" s="73">
        <f t="shared" si="20"/>
        <v>3.1500000000000004</v>
      </c>
      <c r="I115" s="72">
        <v>3</v>
      </c>
      <c r="J115" s="72"/>
      <c r="K115" s="72"/>
      <c r="L115" s="72">
        <v>3</v>
      </c>
      <c r="M115" s="74"/>
      <c r="N115" s="74"/>
      <c r="O115" s="74"/>
      <c r="P115" s="74"/>
      <c r="Q115" s="74"/>
    </row>
    <row r="116" spans="1:17" s="71" customFormat="1" ht="13.5" thickBot="1">
      <c r="A116" s="71">
        <v>409</v>
      </c>
      <c r="B116" s="72">
        <v>6</v>
      </c>
      <c r="C116" s="72">
        <v>1</v>
      </c>
      <c r="D116" s="73">
        <v>1</v>
      </c>
      <c r="E116" s="73">
        <v>5</v>
      </c>
      <c r="F116" s="73">
        <v>1.8</v>
      </c>
      <c r="G116" s="73">
        <f t="shared" si="19"/>
        <v>9</v>
      </c>
      <c r="H116" s="73">
        <f t="shared" si="20"/>
        <v>0.75</v>
      </c>
      <c r="I116" s="72">
        <v>1</v>
      </c>
      <c r="J116" s="72"/>
      <c r="K116" s="72"/>
      <c r="L116" s="72">
        <v>1</v>
      </c>
      <c r="M116" s="74"/>
      <c r="N116" s="74"/>
      <c r="O116" s="74"/>
      <c r="P116" s="74"/>
      <c r="Q116" s="74"/>
    </row>
    <row r="117" spans="1:17" s="71" customFormat="1" ht="13.5" thickBot="1">
      <c r="A117" s="71">
        <v>409</v>
      </c>
      <c r="B117" s="72">
        <v>6</v>
      </c>
      <c r="C117" s="72">
        <v>1</v>
      </c>
      <c r="D117" s="73">
        <v>1</v>
      </c>
      <c r="E117" s="73">
        <v>24</v>
      </c>
      <c r="F117" s="73">
        <v>1.5</v>
      </c>
      <c r="G117" s="73">
        <f t="shared" si="19"/>
        <v>36</v>
      </c>
      <c r="H117" s="73">
        <f t="shared" si="20"/>
        <v>3</v>
      </c>
      <c r="I117" s="72">
        <v>3</v>
      </c>
      <c r="J117" s="72"/>
      <c r="K117" s="72"/>
      <c r="L117" s="72">
        <v>3</v>
      </c>
      <c r="M117" s="74"/>
      <c r="N117" s="74"/>
      <c r="O117" s="74"/>
      <c r="P117" s="74"/>
      <c r="Q117" s="74"/>
    </row>
    <row r="118" spans="1:17" s="71" customFormat="1" ht="13.5" thickBot="1">
      <c r="A118" s="71">
        <v>409</v>
      </c>
      <c r="B118" s="72">
        <v>6</v>
      </c>
      <c r="C118" s="72">
        <v>1</v>
      </c>
      <c r="D118" s="73">
        <v>1</v>
      </c>
      <c r="E118" s="73">
        <v>11</v>
      </c>
      <c r="F118" s="73">
        <v>2.4</v>
      </c>
      <c r="G118" s="73">
        <f t="shared" si="19"/>
        <v>26.4</v>
      </c>
      <c r="H118" s="73">
        <f t="shared" si="20"/>
        <v>2.1999999999999997</v>
      </c>
      <c r="I118" s="72">
        <v>2</v>
      </c>
      <c r="J118" s="72"/>
      <c r="K118" s="72"/>
      <c r="L118" s="72">
        <f>I118</f>
        <v>2</v>
      </c>
      <c r="M118" s="74"/>
      <c r="N118" s="74"/>
      <c r="O118" s="74"/>
      <c r="P118" s="74"/>
      <c r="Q118" s="74"/>
    </row>
    <row r="119" spans="1:17" s="71" customFormat="1" ht="13.5" thickBot="1">
      <c r="A119" s="71" t="s">
        <v>102</v>
      </c>
      <c r="B119" s="72">
        <v>6</v>
      </c>
      <c r="C119" s="72">
        <v>1</v>
      </c>
      <c r="D119" s="73">
        <v>1</v>
      </c>
      <c r="E119" s="73">
        <v>23</v>
      </c>
      <c r="F119" s="73">
        <v>1.42</v>
      </c>
      <c r="G119" s="73">
        <f t="shared" si="19"/>
        <v>32.659999999999997</v>
      </c>
      <c r="H119" s="73">
        <f t="shared" si="20"/>
        <v>2.7216666666666662</v>
      </c>
      <c r="I119" s="72">
        <v>3</v>
      </c>
      <c r="J119" s="72"/>
      <c r="K119" s="72"/>
      <c r="L119" s="72">
        <f t="shared" ref="L119:L132" si="21">I119</f>
        <v>3</v>
      </c>
      <c r="M119" s="74"/>
      <c r="N119" s="74"/>
      <c r="O119" s="74"/>
      <c r="P119" s="74"/>
      <c r="Q119" s="74"/>
    </row>
    <row r="120" spans="1:17" s="71" customFormat="1" ht="13.5" thickBot="1">
      <c r="A120" s="71" t="s">
        <v>102</v>
      </c>
      <c r="B120" s="72">
        <v>6</v>
      </c>
      <c r="C120" s="72">
        <v>1</v>
      </c>
      <c r="D120" s="73">
        <v>1</v>
      </c>
      <c r="E120" s="73">
        <v>23</v>
      </c>
      <c r="F120" s="73">
        <v>0.21</v>
      </c>
      <c r="G120" s="73">
        <f t="shared" si="19"/>
        <v>4.83</v>
      </c>
      <c r="H120" s="73">
        <f t="shared" si="20"/>
        <v>0.40250000000000002</v>
      </c>
      <c r="I120" s="72">
        <v>1</v>
      </c>
      <c r="J120" s="72"/>
      <c r="K120" s="72"/>
      <c r="L120" s="72">
        <f t="shared" si="21"/>
        <v>1</v>
      </c>
      <c r="M120" s="74"/>
      <c r="N120" s="74"/>
      <c r="O120" s="74"/>
      <c r="P120" s="74"/>
      <c r="Q120" s="74"/>
    </row>
    <row r="121" spans="1:17" s="71" customFormat="1" ht="13.5" thickBot="1">
      <c r="A121" s="71" t="s">
        <v>67</v>
      </c>
      <c r="B121" s="72">
        <v>6</v>
      </c>
      <c r="C121" s="72">
        <v>1</v>
      </c>
      <c r="D121" s="73">
        <v>1</v>
      </c>
      <c r="E121" s="73">
        <v>21</v>
      </c>
      <c r="F121" s="73">
        <v>1.76</v>
      </c>
      <c r="G121" s="73">
        <f t="shared" si="19"/>
        <v>36.96</v>
      </c>
      <c r="H121" s="73">
        <f t="shared" si="20"/>
        <v>3.08</v>
      </c>
      <c r="I121" s="72">
        <v>3</v>
      </c>
      <c r="J121" s="72"/>
      <c r="K121" s="72"/>
      <c r="L121" s="72">
        <f t="shared" si="21"/>
        <v>3</v>
      </c>
      <c r="M121" s="74"/>
      <c r="N121" s="74"/>
      <c r="O121" s="74"/>
      <c r="P121" s="74"/>
      <c r="Q121" s="74"/>
    </row>
    <row r="122" spans="1:17" s="71" customFormat="1" ht="13.5" thickBot="1">
      <c r="A122" s="71" t="s">
        <v>67</v>
      </c>
      <c r="B122" s="72">
        <v>6</v>
      </c>
      <c r="C122" s="72">
        <v>1</v>
      </c>
      <c r="D122" s="73">
        <v>1</v>
      </c>
      <c r="E122" s="73">
        <v>21</v>
      </c>
      <c r="F122" s="73">
        <v>0.82</v>
      </c>
      <c r="G122" s="73">
        <f t="shared" ref="G122:G153" si="22">+F122*E122</f>
        <v>17.22</v>
      </c>
      <c r="H122" s="73">
        <f t="shared" si="20"/>
        <v>1.4349999999999998</v>
      </c>
      <c r="I122" s="72">
        <v>2</v>
      </c>
      <c r="J122" s="72"/>
      <c r="K122" s="72"/>
      <c r="L122" s="72">
        <f t="shared" si="21"/>
        <v>2</v>
      </c>
      <c r="M122" s="74"/>
      <c r="N122" s="74"/>
      <c r="O122" s="74"/>
      <c r="P122" s="74"/>
      <c r="Q122" s="74"/>
    </row>
    <row r="123" spans="1:17" s="71" customFormat="1" ht="13.5" thickBot="1">
      <c r="A123" s="71" t="s">
        <v>103</v>
      </c>
      <c r="B123" s="72">
        <v>6</v>
      </c>
      <c r="C123" s="72">
        <v>1</v>
      </c>
      <c r="D123" s="73">
        <v>1</v>
      </c>
      <c r="E123" s="73">
        <v>25</v>
      </c>
      <c r="F123" s="73">
        <v>1.42</v>
      </c>
      <c r="G123" s="73">
        <f t="shared" si="22"/>
        <v>35.5</v>
      </c>
      <c r="H123" s="73">
        <f t="shared" si="20"/>
        <v>2.9583333333333335</v>
      </c>
      <c r="I123" s="72">
        <v>3</v>
      </c>
      <c r="J123" s="72"/>
      <c r="K123" s="72"/>
      <c r="L123" s="72">
        <f t="shared" si="21"/>
        <v>3</v>
      </c>
      <c r="M123" s="74"/>
      <c r="N123" s="74"/>
      <c r="O123" s="74"/>
      <c r="P123" s="74"/>
      <c r="Q123" s="74"/>
    </row>
    <row r="124" spans="1:17" s="71" customFormat="1" ht="13.5" thickBot="1">
      <c r="A124" s="71" t="s">
        <v>103</v>
      </c>
      <c r="B124" s="72">
        <v>6</v>
      </c>
      <c r="C124" s="72">
        <v>1</v>
      </c>
      <c r="D124" s="73">
        <v>1</v>
      </c>
      <c r="E124" s="73">
        <v>25</v>
      </c>
      <c r="F124" s="73">
        <v>0.21</v>
      </c>
      <c r="G124" s="73">
        <f t="shared" si="22"/>
        <v>5.25</v>
      </c>
      <c r="H124" s="73">
        <f t="shared" si="20"/>
        <v>0.4375</v>
      </c>
      <c r="I124" s="72">
        <v>1</v>
      </c>
      <c r="J124" s="72"/>
      <c r="K124" s="72"/>
      <c r="L124" s="72">
        <f t="shared" si="21"/>
        <v>1</v>
      </c>
      <c r="M124" s="74"/>
      <c r="N124" s="74"/>
      <c r="O124" s="74"/>
      <c r="P124" s="74"/>
      <c r="Q124" s="74"/>
    </row>
    <row r="125" spans="1:17" s="71" customFormat="1" ht="13.5" thickBot="1">
      <c r="A125" s="71" t="s">
        <v>104</v>
      </c>
      <c r="B125" s="72">
        <v>6</v>
      </c>
      <c r="C125" s="72">
        <v>1</v>
      </c>
      <c r="D125" s="73">
        <v>1</v>
      </c>
      <c r="E125" s="73">
        <v>21</v>
      </c>
      <c r="F125" s="73">
        <v>0.8</v>
      </c>
      <c r="G125" s="73">
        <f t="shared" si="22"/>
        <v>16.8</v>
      </c>
      <c r="H125" s="73">
        <f t="shared" si="20"/>
        <v>1.4000000000000001</v>
      </c>
      <c r="I125" s="72">
        <v>1</v>
      </c>
      <c r="J125" s="72"/>
      <c r="K125" s="72"/>
      <c r="L125" s="72">
        <f t="shared" si="21"/>
        <v>1</v>
      </c>
      <c r="M125" s="74"/>
      <c r="N125" s="74"/>
      <c r="O125" s="74"/>
      <c r="P125" s="74"/>
      <c r="Q125" s="74"/>
    </row>
    <row r="126" spans="1:17" s="71" customFormat="1" ht="13.5" thickBot="1">
      <c r="A126" s="71" t="s">
        <v>89</v>
      </c>
      <c r="B126" s="72">
        <v>6</v>
      </c>
      <c r="C126" s="72">
        <v>1</v>
      </c>
      <c r="D126" s="73">
        <v>1</v>
      </c>
      <c r="E126" s="73">
        <v>21</v>
      </c>
      <c r="F126" s="73">
        <v>1.78</v>
      </c>
      <c r="G126" s="73">
        <f t="shared" si="22"/>
        <v>37.380000000000003</v>
      </c>
      <c r="H126" s="73">
        <f t="shared" si="20"/>
        <v>3.1150000000000002</v>
      </c>
      <c r="I126" s="72">
        <v>3</v>
      </c>
      <c r="J126" s="72"/>
      <c r="K126" s="72"/>
      <c r="L126" s="72">
        <f t="shared" si="21"/>
        <v>3</v>
      </c>
      <c r="M126" s="74"/>
      <c r="N126" s="74"/>
      <c r="O126" s="74"/>
      <c r="P126" s="74"/>
      <c r="Q126" s="74"/>
    </row>
    <row r="127" spans="1:17" s="71" customFormat="1" ht="13.5" thickBot="1">
      <c r="A127" s="71" t="s">
        <v>89</v>
      </c>
      <c r="B127" s="72">
        <v>6</v>
      </c>
      <c r="C127" s="72">
        <v>1</v>
      </c>
      <c r="D127" s="73">
        <v>1</v>
      </c>
      <c r="E127" s="73">
        <v>21</v>
      </c>
      <c r="F127" s="73">
        <v>0.84</v>
      </c>
      <c r="G127" s="73">
        <f t="shared" si="22"/>
        <v>17.64</v>
      </c>
      <c r="H127" s="73">
        <f t="shared" si="20"/>
        <v>1.47</v>
      </c>
      <c r="I127" s="72">
        <v>2</v>
      </c>
      <c r="J127" s="72"/>
      <c r="K127" s="72"/>
      <c r="L127" s="72">
        <f t="shared" si="21"/>
        <v>2</v>
      </c>
      <c r="M127" s="74"/>
      <c r="N127" s="74"/>
      <c r="O127" s="74"/>
      <c r="P127" s="74"/>
      <c r="Q127" s="74"/>
    </row>
    <row r="128" spans="1:17" s="71" customFormat="1" ht="13.5" thickBot="1">
      <c r="A128" s="71" t="s">
        <v>105</v>
      </c>
      <c r="B128" s="72">
        <v>6</v>
      </c>
      <c r="C128" s="72">
        <v>1</v>
      </c>
      <c r="D128" s="73">
        <v>1</v>
      </c>
      <c r="E128" s="73">
        <v>21</v>
      </c>
      <c r="F128" s="73">
        <v>1.44</v>
      </c>
      <c r="G128" s="73">
        <f t="shared" si="22"/>
        <v>30.24</v>
      </c>
      <c r="H128" s="73">
        <f t="shared" si="20"/>
        <v>2.52</v>
      </c>
      <c r="I128" s="72">
        <v>3</v>
      </c>
      <c r="J128" s="72"/>
      <c r="K128" s="72"/>
      <c r="L128" s="72">
        <f t="shared" si="21"/>
        <v>3</v>
      </c>
      <c r="M128" s="74"/>
      <c r="N128" s="74"/>
      <c r="O128" s="74"/>
      <c r="P128" s="74"/>
      <c r="Q128" s="74"/>
    </row>
    <row r="129" spans="1:25" s="71" customFormat="1" ht="13.5" thickBot="1">
      <c r="A129" s="71" t="s">
        <v>105</v>
      </c>
      <c r="B129" s="72">
        <v>6</v>
      </c>
      <c r="C129" s="72">
        <v>1</v>
      </c>
      <c r="D129" s="73">
        <v>1</v>
      </c>
      <c r="E129" s="73">
        <v>21</v>
      </c>
      <c r="F129" s="73">
        <v>0.72</v>
      </c>
      <c r="G129" s="73">
        <f t="shared" si="22"/>
        <v>15.12</v>
      </c>
      <c r="H129" s="73">
        <f t="shared" si="20"/>
        <v>1.26</v>
      </c>
      <c r="I129" s="72">
        <v>1</v>
      </c>
      <c r="J129" s="72"/>
      <c r="K129" s="72"/>
      <c r="L129" s="72">
        <f t="shared" si="21"/>
        <v>1</v>
      </c>
      <c r="M129" s="74"/>
      <c r="N129" s="74"/>
      <c r="O129" s="74"/>
      <c r="P129" s="74"/>
      <c r="Q129" s="74"/>
    </row>
    <row r="130" spans="1:25" s="71" customFormat="1" ht="13.5" thickBot="1">
      <c r="A130" s="79" t="s">
        <v>106</v>
      </c>
      <c r="B130" s="80">
        <v>6</v>
      </c>
      <c r="C130" s="80">
        <v>3</v>
      </c>
      <c r="D130" s="81">
        <v>1</v>
      </c>
      <c r="E130" s="81">
        <v>60</v>
      </c>
      <c r="F130" s="81">
        <v>0.24</v>
      </c>
      <c r="G130" s="81">
        <f t="shared" si="22"/>
        <v>14.399999999999999</v>
      </c>
      <c r="H130" s="81">
        <f t="shared" si="20"/>
        <v>1.2</v>
      </c>
      <c r="I130" s="80">
        <v>1</v>
      </c>
      <c r="J130" s="80"/>
      <c r="K130" s="80"/>
      <c r="L130" s="72">
        <f t="shared" si="21"/>
        <v>1</v>
      </c>
      <c r="M130" s="74"/>
      <c r="N130" s="74"/>
      <c r="O130" s="74"/>
      <c r="P130" s="74"/>
      <c r="Q130" s="74"/>
    </row>
    <row r="131" spans="1:25" s="71" customFormat="1" ht="13.5" thickBot="1">
      <c r="A131" s="79" t="s">
        <v>106</v>
      </c>
      <c r="B131" s="80">
        <v>6</v>
      </c>
      <c r="C131" s="80">
        <v>3</v>
      </c>
      <c r="D131" s="81">
        <v>1</v>
      </c>
      <c r="E131" s="81">
        <v>45</v>
      </c>
      <c r="F131" s="81">
        <v>0.6</v>
      </c>
      <c r="G131" s="81">
        <f t="shared" si="22"/>
        <v>27</v>
      </c>
      <c r="H131" s="81">
        <f t="shared" si="20"/>
        <v>2.25</v>
      </c>
      <c r="I131" s="80">
        <v>3</v>
      </c>
      <c r="J131" s="80"/>
      <c r="K131" s="80"/>
      <c r="L131" s="72">
        <f t="shared" si="21"/>
        <v>3</v>
      </c>
      <c r="M131" s="74"/>
      <c r="N131" s="74"/>
      <c r="O131" s="74"/>
      <c r="P131" s="74"/>
      <c r="Q131" s="74"/>
    </row>
    <row r="132" spans="1:25" s="71" customFormat="1">
      <c r="A132" s="79" t="s">
        <v>106</v>
      </c>
      <c r="B132" s="80">
        <v>6</v>
      </c>
      <c r="C132" s="80">
        <v>3</v>
      </c>
      <c r="D132" s="81">
        <v>1</v>
      </c>
      <c r="E132" s="81">
        <v>60</v>
      </c>
      <c r="F132" s="81">
        <v>0.24</v>
      </c>
      <c r="G132" s="81">
        <f t="shared" si="22"/>
        <v>14.399999999999999</v>
      </c>
      <c r="H132" s="81">
        <f t="shared" si="20"/>
        <v>1.2</v>
      </c>
      <c r="I132" s="79">
        <v>1</v>
      </c>
      <c r="J132" s="79"/>
      <c r="K132" s="79"/>
      <c r="L132" s="79">
        <f t="shared" si="21"/>
        <v>1</v>
      </c>
      <c r="M132" s="74"/>
      <c r="N132" s="74"/>
      <c r="O132" s="74"/>
      <c r="P132" s="74"/>
      <c r="Q132" s="74"/>
    </row>
    <row r="133" spans="1:25" s="71" customForma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4"/>
      <c r="N133" s="74"/>
      <c r="O133" s="74"/>
      <c r="P133" s="74"/>
      <c r="Q133" s="74"/>
    </row>
    <row r="134" spans="1:25" s="71" customForma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4"/>
      <c r="N134" s="74"/>
      <c r="O134" s="74"/>
      <c r="P134" s="74"/>
      <c r="Q134" s="74"/>
    </row>
    <row r="135" spans="1:25" s="71" customForma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4"/>
      <c r="N135" s="74"/>
      <c r="O135" s="74"/>
      <c r="P135" s="74"/>
      <c r="Q135" s="74"/>
    </row>
    <row r="136" spans="1:25" s="71" customForma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4"/>
      <c r="N136" s="74"/>
      <c r="O136" s="74"/>
      <c r="P136" s="74"/>
      <c r="Q136" s="74"/>
    </row>
    <row r="137" spans="1:25" s="71" customForma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4"/>
      <c r="N137" s="74"/>
      <c r="O137" s="74"/>
      <c r="P137" s="74"/>
      <c r="Q137" s="74"/>
    </row>
    <row r="138" spans="1:25" s="71" customFormat="1" ht="13.5" thickBo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4"/>
      <c r="N138" s="74"/>
      <c r="O138" s="74"/>
      <c r="P138" s="74"/>
      <c r="Q138" s="74"/>
    </row>
    <row r="139" spans="1:25" s="24" customFormat="1" ht="13.5" thickBot="1">
      <c r="D139" s="70"/>
      <c r="E139" s="70"/>
      <c r="F139" s="70"/>
      <c r="G139" s="70"/>
      <c r="H139" s="70"/>
      <c r="M139" s="68"/>
      <c r="N139" s="68"/>
      <c r="O139" s="68"/>
      <c r="P139" s="68"/>
      <c r="Q139" s="68"/>
    </row>
    <row r="140" spans="1:25" s="2" customFormat="1" ht="18.75" thickBot="1">
      <c r="B140" s="22">
        <v>6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1"/>
      <c r="N140" s="12"/>
      <c r="O140" s="12"/>
      <c r="P140" s="12"/>
      <c r="Q140" s="13"/>
      <c r="R140" s="12"/>
      <c r="S140" s="12"/>
      <c r="T140" s="12"/>
      <c r="U140" s="12"/>
      <c r="V140" s="1"/>
      <c r="W140" s="1"/>
      <c r="X140" s="1"/>
      <c r="Y140" s="1"/>
    </row>
    <row r="141" spans="1:25" s="2" customFormat="1" ht="13.5" thickBot="1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3"/>
      <c r="N141" s="57">
        <v>7.46</v>
      </c>
      <c r="O141" s="57">
        <v>1</v>
      </c>
      <c r="P141" s="57">
        <f>O141*N141</f>
        <v>7.46</v>
      </c>
      <c r="Q141" s="13"/>
      <c r="R141" s="12"/>
      <c r="S141" s="12"/>
      <c r="T141" s="12"/>
      <c r="U141" s="12"/>
      <c r="V141" s="1"/>
      <c r="W141" s="1"/>
      <c r="X141" s="1"/>
      <c r="Y141" s="1"/>
    </row>
    <row r="142" spans="1:25" ht="13.5" thickBot="1">
      <c r="A142" s="2" t="s">
        <v>107</v>
      </c>
      <c r="B142" s="29">
        <v>8</v>
      </c>
      <c r="C142" s="30">
        <v>2</v>
      </c>
      <c r="D142" s="30">
        <v>1</v>
      </c>
      <c r="E142" s="30">
        <f>D142*C142</f>
        <v>2</v>
      </c>
      <c r="F142" s="31">
        <f>0.2+4.1+0.75+4.55+0.15</f>
        <v>9.75</v>
      </c>
      <c r="G142" s="30">
        <f t="shared" ref="G142:G153" si="23">+F142*E142</f>
        <v>19.5</v>
      </c>
      <c r="H142" s="30">
        <f t="shared" ref="H142:H204" si="24">+G142/$G$2</f>
        <v>1.625</v>
      </c>
      <c r="I142" s="30">
        <v>2</v>
      </c>
      <c r="J142" s="30"/>
      <c r="K142" s="30"/>
      <c r="L142" s="32">
        <f>I142</f>
        <v>2</v>
      </c>
      <c r="M142" s="20">
        <f>SUM(L142:L204)</f>
        <v>278</v>
      </c>
      <c r="N142" s="57">
        <v>2.92</v>
      </c>
      <c r="O142" s="57">
        <v>11</v>
      </c>
      <c r="P142" s="57">
        <f>O142*N142</f>
        <v>32.119999999999997</v>
      </c>
      <c r="Q142" s="13"/>
    </row>
    <row r="143" spans="1:25" ht="13.5" thickBot="1">
      <c r="A143" s="2" t="s">
        <v>107</v>
      </c>
      <c r="B143" s="29">
        <v>8</v>
      </c>
      <c r="C143" s="30">
        <v>2</v>
      </c>
      <c r="D143" s="30">
        <v>1</v>
      </c>
      <c r="E143" s="30">
        <v>2</v>
      </c>
      <c r="F143" s="31">
        <v>0.6</v>
      </c>
      <c r="G143" s="30">
        <f t="shared" si="23"/>
        <v>1.2</v>
      </c>
      <c r="H143" s="30">
        <f t="shared" si="24"/>
        <v>9.9999999999999992E-2</v>
      </c>
      <c r="I143" s="30"/>
      <c r="J143" s="30"/>
      <c r="K143" s="30"/>
      <c r="L143" s="32">
        <f t="shared" ref="L143:L204" si="25">I143</f>
        <v>0</v>
      </c>
      <c r="N143" s="50">
        <v>1.59</v>
      </c>
      <c r="O143" s="50">
        <v>69</v>
      </c>
      <c r="P143" s="50">
        <f>O143*N143</f>
        <v>109.71000000000001</v>
      </c>
      <c r="Q143" s="13"/>
    </row>
    <row r="144" spans="1:25" ht="13.5" thickBot="1">
      <c r="A144" s="2" t="s">
        <v>51</v>
      </c>
      <c r="B144" s="29">
        <v>8</v>
      </c>
      <c r="C144" s="30">
        <v>2</v>
      </c>
      <c r="D144" s="30">
        <v>1</v>
      </c>
      <c r="E144" s="30">
        <v>2</v>
      </c>
      <c r="F144" s="31">
        <v>1.2</v>
      </c>
      <c r="G144" s="30">
        <f t="shared" si="23"/>
        <v>2.4</v>
      </c>
      <c r="H144" s="30">
        <f t="shared" si="24"/>
        <v>0.19999999999999998</v>
      </c>
      <c r="I144" s="30">
        <v>1</v>
      </c>
      <c r="J144" s="30"/>
      <c r="K144" s="30"/>
      <c r="L144" s="32">
        <f t="shared" si="25"/>
        <v>1</v>
      </c>
      <c r="N144" s="53">
        <v>8.57</v>
      </c>
      <c r="O144" s="53">
        <v>1</v>
      </c>
      <c r="P144" s="53">
        <f>O144*N144</f>
        <v>8.57</v>
      </c>
      <c r="Q144" s="13"/>
    </row>
    <row r="145" spans="1:17" ht="13.5" thickBot="1">
      <c r="A145" s="2" t="s">
        <v>51</v>
      </c>
      <c r="B145" s="29">
        <v>8</v>
      </c>
      <c r="C145" s="30">
        <v>2</v>
      </c>
      <c r="D145" s="30">
        <v>1</v>
      </c>
      <c r="E145" s="30">
        <v>2</v>
      </c>
      <c r="F145" s="31">
        <v>2</v>
      </c>
      <c r="G145" s="30">
        <f t="shared" si="23"/>
        <v>4</v>
      </c>
      <c r="H145" s="30">
        <f t="shared" si="24"/>
        <v>0.33333333333333331</v>
      </c>
      <c r="I145" s="30"/>
      <c r="J145" s="30"/>
      <c r="K145" s="30"/>
      <c r="L145" s="32">
        <f t="shared" si="25"/>
        <v>0</v>
      </c>
      <c r="M145" s="56"/>
      <c r="N145" s="12">
        <v>3.7</v>
      </c>
      <c r="O145" s="12">
        <v>104</v>
      </c>
      <c r="P145" s="12">
        <f>O145*N145</f>
        <v>384.8</v>
      </c>
      <c r="Q145" s="13"/>
    </row>
    <row r="146" spans="1:17" ht="13.5" thickBot="1">
      <c r="A146" s="2" t="s">
        <v>108</v>
      </c>
      <c r="B146" s="29">
        <v>8</v>
      </c>
      <c r="C146" s="30">
        <v>2</v>
      </c>
      <c r="D146" s="30">
        <v>1</v>
      </c>
      <c r="E146" s="30">
        <v>2</v>
      </c>
      <c r="F146" s="31">
        <v>5.9</v>
      </c>
      <c r="G146" s="30">
        <f t="shared" si="23"/>
        <v>11.8</v>
      </c>
      <c r="H146" s="30">
        <f t="shared" si="24"/>
        <v>0.98333333333333339</v>
      </c>
      <c r="I146" s="30">
        <v>1</v>
      </c>
      <c r="J146" s="30"/>
      <c r="K146" s="30"/>
      <c r="L146" s="32">
        <f t="shared" si="25"/>
        <v>1</v>
      </c>
      <c r="M146" s="56"/>
      <c r="N146" s="12"/>
      <c r="O146" s="12"/>
      <c r="P146" s="12"/>
      <c r="Q146" s="13"/>
    </row>
    <row r="147" spans="1:17" ht="13.5" thickBot="1">
      <c r="A147" s="1" t="s">
        <v>109</v>
      </c>
      <c r="B147" s="29">
        <v>8</v>
      </c>
      <c r="C147" s="30">
        <v>2</v>
      </c>
      <c r="D147" s="30">
        <v>1</v>
      </c>
      <c r="E147" s="30">
        <v>2</v>
      </c>
      <c r="F147" s="31">
        <v>3.05</v>
      </c>
      <c r="G147" s="30">
        <f t="shared" si="23"/>
        <v>6.1</v>
      </c>
      <c r="H147" s="30">
        <f t="shared" si="24"/>
        <v>0.5083333333333333</v>
      </c>
      <c r="I147" s="30">
        <v>1</v>
      </c>
      <c r="J147" s="30"/>
      <c r="K147" s="30"/>
      <c r="L147" s="32">
        <f t="shared" si="25"/>
        <v>1</v>
      </c>
      <c r="M147" s="56"/>
      <c r="N147" s="50">
        <v>0.39</v>
      </c>
      <c r="O147" s="50">
        <v>8</v>
      </c>
      <c r="P147" s="50">
        <f>O147*N147</f>
        <v>3.12</v>
      </c>
      <c r="Q147" s="13"/>
    </row>
    <row r="148" spans="1:17" ht="13.5" thickBot="1">
      <c r="A148" s="1" t="s">
        <v>110</v>
      </c>
      <c r="B148" s="29">
        <v>8</v>
      </c>
      <c r="C148" s="30">
        <v>2</v>
      </c>
      <c r="D148" s="30">
        <v>1</v>
      </c>
      <c r="E148" s="30">
        <v>2</v>
      </c>
      <c r="F148" s="31">
        <v>1.8</v>
      </c>
      <c r="G148" s="30">
        <f t="shared" si="23"/>
        <v>3.6</v>
      </c>
      <c r="H148" s="30">
        <f t="shared" si="24"/>
        <v>0.3</v>
      </c>
      <c r="I148" s="30"/>
      <c r="J148" s="30"/>
      <c r="K148" s="30"/>
      <c r="L148" s="32">
        <f t="shared" si="25"/>
        <v>0</v>
      </c>
      <c r="M148" s="56"/>
      <c r="N148" s="12"/>
      <c r="O148" s="12"/>
      <c r="P148" s="12"/>
      <c r="Q148" s="13"/>
    </row>
    <row r="149" spans="1:17" ht="13.5" thickBot="1">
      <c r="A149" s="1" t="s">
        <v>55</v>
      </c>
      <c r="B149" s="29">
        <v>8</v>
      </c>
      <c r="C149" s="30">
        <v>2</v>
      </c>
      <c r="D149" s="30">
        <v>1</v>
      </c>
      <c r="E149" s="30">
        <v>2</v>
      </c>
      <c r="F149" s="31">
        <v>2.2000000000000002</v>
      </c>
      <c r="G149" s="30">
        <f t="shared" si="23"/>
        <v>4.4000000000000004</v>
      </c>
      <c r="H149" s="30">
        <f t="shared" si="24"/>
        <v>0.3666666666666667</v>
      </c>
      <c r="I149" s="30">
        <v>1</v>
      </c>
      <c r="J149" s="30"/>
      <c r="K149" s="30"/>
      <c r="L149" s="32">
        <f t="shared" si="25"/>
        <v>1</v>
      </c>
      <c r="M149" s="56"/>
      <c r="N149" s="12"/>
      <c r="O149" s="12"/>
      <c r="P149" s="12"/>
      <c r="Q149" s="13"/>
    </row>
    <row r="150" spans="1:17" ht="13.5" thickBot="1">
      <c r="A150" s="1" t="s">
        <v>55</v>
      </c>
      <c r="B150" s="29">
        <v>8</v>
      </c>
      <c r="C150" s="30">
        <v>2</v>
      </c>
      <c r="D150" s="30">
        <v>1</v>
      </c>
      <c r="E150" s="30">
        <v>2</v>
      </c>
      <c r="F150" s="31">
        <v>2.2000000000000002</v>
      </c>
      <c r="G150" s="30">
        <f t="shared" si="23"/>
        <v>4.4000000000000004</v>
      </c>
      <c r="H150" s="30">
        <f t="shared" si="24"/>
        <v>0.3666666666666667</v>
      </c>
      <c r="I150" s="30"/>
      <c r="J150" s="30"/>
      <c r="K150" s="30"/>
      <c r="L150" s="32">
        <f t="shared" si="25"/>
        <v>0</v>
      </c>
      <c r="M150" s="56"/>
      <c r="N150" s="12"/>
      <c r="O150" s="12"/>
      <c r="P150" s="12"/>
      <c r="Q150" s="13"/>
    </row>
    <row r="151" spans="1:17" ht="13.5" thickBot="1">
      <c r="A151" s="1" t="s">
        <v>56</v>
      </c>
      <c r="B151" s="29">
        <v>8</v>
      </c>
      <c r="C151" s="30">
        <v>2</v>
      </c>
      <c r="D151" s="30">
        <v>1</v>
      </c>
      <c r="E151" s="30">
        <v>2</v>
      </c>
      <c r="F151" s="31">
        <v>2.85</v>
      </c>
      <c r="G151" s="30">
        <f t="shared" si="23"/>
        <v>5.7</v>
      </c>
      <c r="H151" s="30">
        <f t="shared" si="24"/>
        <v>0.47500000000000003</v>
      </c>
      <c r="I151" s="30">
        <v>1</v>
      </c>
      <c r="J151" s="30"/>
      <c r="K151" s="30"/>
      <c r="L151" s="32">
        <f t="shared" si="25"/>
        <v>1</v>
      </c>
      <c r="M151" s="56"/>
      <c r="N151" s="12"/>
      <c r="O151" s="12"/>
      <c r="P151" s="12"/>
      <c r="Q151" s="13"/>
    </row>
    <row r="152" spans="1:17" ht="13.5" thickBot="1">
      <c r="A152" s="1" t="s">
        <v>56</v>
      </c>
      <c r="B152" s="29">
        <v>8</v>
      </c>
      <c r="C152" s="30">
        <v>2</v>
      </c>
      <c r="D152" s="30">
        <v>1</v>
      </c>
      <c r="E152" s="30">
        <v>2</v>
      </c>
      <c r="F152" s="31">
        <v>2.5499999999999998</v>
      </c>
      <c r="G152" s="30">
        <f t="shared" si="23"/>
        <v>5.0999999999999996</v>
      </c>
      <c r="H152" s="30">
        <f t="shared" si="24"/>
        <v>0.42499999999999999</v>
      </c>
      <c r="I152" s="30"/>
      <c r="J152" s="30"/>
      <c r="K152" s="30"/>
      <c r="L152" s="32">
        <f t="shared" si="25"/>
        <v>0</v>
      </c>
      <c r="M152" s="56"/>
      <c r="N152" s="12"/>
      <c r="O152" s="12"/>
      <c r="P152" s="12"/>
      <c r="Q152" s="13"/>
    </row>
    <row r="153" spans="1:17" ht="13.5" thickBot="1">
      <c r="A153" s="1" t="s">
        <v>111</v>
      </c>
      <c r="B153" s="29">
        <v>8</v>
      </c>
      <c r="C153" s="30">
        <v>2</v>
      </c>
      <c r="D153" s="30">
        <v>1</v>
      </c>
      <c r="E153" s="30">
        <v>2</v>
      </c>
      <c r="F153" s="31">
        <v>7.6</v>
      </c>
      <c r="G153" s="30">
        <f t="shared" si="23"/>
        <v>15.2</v>
      </c>
      <c r="H153" s="30">
        <f t="shared" si="24"/>
        <v>1.2666666666666666</v>
      </c>
      <c r="I153" s="30">
        <v>1</v>
      </c>
      <c r="J153" s="30"/>
      <c r="K153" s="30"/>
      <c r="L153" s="32">
        <f t="shared" si="25"/>
        <v>1</v>
      </c>
      <c r="M153" s="56"/>
      <c r="N153" s="12"/>
      <c r="O153" s="12"/>
      <c r="P153" s="12"/>
      <c r="Q153" s="13"/>
    </row>
    <row r="154" spans="1:17" ht="13.5" thickBot="1">
      <c r="A154" s="1" t="s">
        <v>112</v>
      </c>
      <c r="B154" s="29">
        <v>8</v>
      </c>
      <c r="C154" s="30">
        <v>2</v>
      </c>
      <c r="D154" s="30">
        <v>1</v>
      </c>
      <c r="E154" s="30">
        <v>2</v>
      </c>
      <c r="F154" s="31">
        <v>8.0500000000000007</v>
      </c>
      <c r="G154" s="30">
        <f t="shared" ref="G154:G185" si="26">+F154*E154</f>
        <v>16.100000000000001</v>
      </c>
      <c r="H154" s="30">
        <f t="shared" si="24"/>
        <v>1.3416666666666668</v>
      </c>
      <c r="I154" s="30">
        <v>2</v>
      </c>
      <c r="J154" s="30"/>
      <c r="K154" s="30"/>
      <c r="L154" s="32">
        <f t="shared" si="25"/>
        <v>2</v>
      </c>
      <c r="M154" s="56"/>
      <c r="N154" s="12"/>
      <c r="O154" s="12"/>
      <c r="P154" s="12"/>
      <c r="Q154" s="13"/>
    </row>
    <row r="155" spans="1:17" ht="13.5" thickBot="1">
      <c r="A155" s="1" t="s">
        <v>57</v>
      </c>
      <c r="B155" s="29">
        <v>8</v>
      </c>
      <c r="C155" s="30">
        <v>2</v>
      </c>
      <c r="D155" s="30">
        <v>1</v>
      </c>
      <c r="E155" s="30">
        <v>2</v>
      </c>
      <c r="F155" s="31">
        <v>2.75</v>
      </c>
      <c r="G155" s="30">
        <f t="shared" si="26"/>
        <v>5.5</v>
      </c>
      <c r="H155" s="30">
        <f t="shared" si="24"/>
        <v>0.45833333333333331</v>
      </c>
      <c r="I155" s="30">
        <v>1</v>
      </c>
      <c r="J155" s="30"/>
      <c r="K155" s="30"/>
      <c r="L155" s="32">
        <f t="shared" si="25"/>
        <v>1</v>
      </c>
      <c r="M155" s="56"/>
      <c r="N155" s="12"/>
      <c r="O155" s="12"/>
      <c r="P155" s="12"/>
      <c r="Q155" s="13"/>
    </row>
    <row r="156" spans="1:17" ht="13.5" thickBot="1">
      <c r="A156" s="1" t="s">
        <v>59</v>
      </c>
      <c r="B156" s="29">
        <v>8</v>
      </c>
      <c r="C156" s="30">
        <v>2</v>
      </c>
      <c r="D156" s="30">
        <v>1</v>
      </c>
      <c r="E156" s="30">
        <v>2</v>
      </c>
      <c r="F156" s="31">
        <v>1.1000000000000001</v>
      </c>
      <c r="G156" s="30">
        <f t="shared" si="26"/>
        <v>2.2000000000000002</v>
      </c>
      <c r="H156" s="30">
        <f t="shared" si="24"/>
        <v>0.18333333333333335</v>
      </c>
      <c r="I156" s="30"/>
      <c r="J156" s="30"/>
      <c r="K156" s="30"/>
      <c r="L156" s="32">
        <f t="shared" si="25"/>
        <v>0</v>
      </c>
      <c r="M156" s="56"/>
      <c r="N156" s="12"/>
      <c r="O156" s="12"/>
      <c r="P156" s="12"/>
      <c r="Q156" s="13"/>
    </row>
    <row r="157" spans="1:17" ht="13.5" thickBot="1">
      <c r="A157" s="1" t="s">
        <v>58</v>
      </c>
      <c r="B157" s="29">
        <v>8</v>
      </c>
      <c r="C157" s="30">
        <v>2</v>
      </c>
      <c r="D157" s="30">
        <v>1</v>
      </c>
      <c r="E157" s="30">
        <v>2</v>
      </c>
      <c r="F157" s="31">
        <v>2.75</v>
      </c>
      <c r="G157" s="30">
        <f t="shared" si="26"/>
        <v>5.5</v>
      </c>
      <c r="H157" s="30">
        <f t="shared" si="24"/>
        <v>0.45833333333333331</v>
      </c>
      <c r="I157" s="30"/>
      <c r="J157" s="30"/>
      <c r="K157" s="30"/>
      <c r="L157" s="32">
        <f t="shared" si="25"/>
        <v>0</v>
      </c>
      <c r="M157" s="56"/>
      <c r="N157" s="12"/>
      <c r="O157" s="12"/>
      <c r="P157" s="12"/>
      <c r="Q157" s="13"/>
    </row>
    <row r="158" spans="1:17" ht="13.5" thickBot="1">
      <c r="A158" s="1" t="s">
        <v>60</v>
      </c>
      <c r="B158" s="29">
        <v>8</v>
      </c>
      <c r="C158" s="30">
        <v>2</v>
      </c>
      <c r="D158" s="30">
        <v>1</v>
      </c>
      <c r="E158" s="30">
        <v>2</v>
      </c>
      <c r="F158" s="31">
        <v>7.25</v>
      </c>
      <c r="G158" s="30">
        <f t="shared" si="26"/>
        <v>14.5</v>
      </c>
      <c r="H158" s="30">
        <f t="shared" si="24"/>
        <v>1.2083333333333333</v>
      </c>
      <c r="I158" s="30">
        <v>2</v>
      </c>
      <c r="J158" s="30"/>
      <c r="K158" s="30"/>
      <c r="L158" s="32">
        <f t="shared" si="25"/>
        <v>2</v>
      </c>
      <c r="M158" s="56"/>
      <c r="N158" s="12"/>
      <c r="O158" s="12"/>
      <c r="P158" s="12"/>
      <c r="Q158" s="13"/>
    </row>
    <row r="159" spans="1:17" ht="13.5" thickBot="1">
      <c r="A159" s="1" t="s">
        <v>61</v>
      </c>
      <c r="B159" s="29">
        <v>8</v>
      </c>
      <c r="C159" s="30">
        <v>2</v>
      </c>
      <c r="D159" s="30">
        <v>1</v>
      </c>
      <c r="E159" s="30">
        <v>2</v>
      </c>
      <c r="F159" s="31">
        <v>8.0500000000000007</v>
      </c>
      <c r="G159" s="30">
        <f t="shared" si="26"/>
        <v>16.100000000000001</v>
      </c>
      <c r="H159" s="30">
        <f t="shared" si="24"/>
        <v>1.3416666666666668</v>
      </c>
      <c r="I159" s="30">
        <v>1</v>
      </c>
      <c r="J159" s="30"/>
      <c r="K159" s="30"/>
      <c r="L159" s="32">
        <f t="shared" si="25"/>
        <v>1</v>
      </c>
      <c r="M159" s="56"/>
      <c r="N159" s="12"/>
      <c r="O159" s="12"/>
      <c r="P159" s="12"/>
      <c r="Q159" s="13"/>
    </row>
    <row r="160" spans="1:17" ht="13.5" thickBot="1">
      <c r="A160" s="1" t="s">
        <v>64</v>
      </c>
      <c r="B160" s="29">
        <v>8</v>
      </c>
      <c r="C160" s="30">
        <v>2</v>
      </c>
      <c r="D160" s="30">
        <v>1</v>
      </c>
      <c r="E160" s="30">
        <v>56</v>
      </c>
      <c r="F160" s="31">
        <v>4.7</v>
      </c>
      <c r="G160" s="30">
        <f t="shared" si="26"/>
        <v>263.2</v>
      </c>
      <c r="H160" s="30">
        <f t="shared" si="24"/>
        <v>21.933333333333334</v>
      </c>
      <c r="I160" s="30">
        <v>22</v>
      </c>
      <c r="J160" s="30"/>
      <c r="K160" s="30"/>
      <c r="L160" s="32">
        <f t="shared" si="25"/>
        <v>22</v>
      </c>
      <c r="M160" s="56"/>
      <c r="N160" s="12"/>
      <c r="O160" s="12"/>
      <c r="P160" s="12"/>
      <c r="Q160" s="13"/>
    </row>
    <row r="161" spans="1:25" s="2" customFormat="1" ht="13.5" thickBot="1">
      <c r="A161" s="62" t="s">
        <v>68</v>
      </c>
      <c r="B161" s="63">
        <v>8</v>
      </c>
      <c r="C161" s="63">
        <v>2</v>
      </c>
      <c r="D161" s="64">
        <v>2</v>
      </c>
      <c r="E161" s="64">
        <v>2</v>
      </c>
      <c r="F161" s="31">
        <v>6.05</v>
      </c>
      <c r="G161" s="64">
        <f t="shared" si="26"/>
        <v>12.1</v>
      </c>
      <c r="H161" s="64">
        <f t="shared" si="24"/>
        <v>1.0083333333333333</v>
      </c>
      <c r="I161" s="63">
        <v>1</v>
      </c>
      <c r="J161" s="63"/>
      <c r="K161" s="63"/>
      <c r="L161" s="32">
        <f t="shared" si="25"/>
        <v>1</v>
      </c>
      <c r="M161" s="13"/>
      <c r="N161" s="13"/>
      <c r="O161" s="13"/>
      <c r="P161" s="13"/>
      <c r="Q161" s="13"/>
      <c r="R161" s="12"/>
      <c r="S161" s="12"/>
      <c r="T161" s="12"/>
      <c r="U161" s="12"/>
      <c r="V161" s="1"/>
      <c r="W161" s="1"/>
      <c r="X161" s="1"/>
      <c r="Y161" s="1"/>
    </row>
    <row r="162" spans="1:25" s="2" customFormat="1" ht="13.5" thickBot="1">
      <c r="A162" s="62" t="s">
        <v>68</v>
      </c>
      <c r="B162" s="63">
        <v>8</v>
      </c>
      <c r="C162" s="63">
        <v>2</v>
      </c>
      <c r="D162" s="64">
        <v>2</v>
      </c>
      <c r="E162" s="64">
        <v>2</v>
      </c>
      <c r="F162" s="31">
        <v>6.45</v>
      </c>
      <c r="G162" s="64">
        <f t="shared" si="26"/>
        <v>12.9</v>
      </c>
      <c r="H162" s="64">
        <f t="shared" si="24"/>
        <v>1.075</v>
      </c>
      <c r="I162" s="63">
        <v>1</v>
      </c>
      <c r="J162" s="63"/>
      <c r="K162" s="63"/>
      <c r="L162" s="32">
        <f t="shared" si="25"/>
        <v>1</v>
      </c>
      <c r="M162" s="13"/>
      <c r="N162" s="13"/>
      <c r="O162" s="13"/>
      <c r="P162" s="13"/>
      <c r="Q162" s="13"/>
      <c r="R162" s="12"/>
      <c r="S162" s="12"/>
      <c r="T162" s="12"/>
      <c r="U162" s="12"/>
      <c r="V162" s="1"/>
      <c r="W162" s="1"/>
      <c r="X162" s="1"/>
      <c r="Y162" s="1"/>
    </row>
    <row r="163" spans="1:25" s="2" customFormat="1" ht="13.5" thickBot="1">
      <c r="A163" s="62" t="s">
        <v>68</v>
      </c>
      <c r="B163" s="63">
        <v>8</v>
      </c>
      <c r="C163" s="63">
        <v>2</v>
      </c>
      <c r="D163" s="64">
        <v>2</v>
      </c>
      <c r="E163" s="64">
        <v>2</v>
      </c>
      <c r="F163" s="31">
        <v>0.6</v>
      </c>
      <c r="G163" s="64">
        <f t="shared" si="26"/>
        <v>1.2</v>
      </c>
      <c r="H163" s="64">
        <f t="shared" si="24"/>
        <v>9.9999999999999992E-2</v>
      </c>
      <c r="I163" s="63"/>
      <c r="J163" s="63"/>
      <c r="K163" s="63"/>
      <c r="L163" s="32">
        <f t="shared" si="25"/>
        <v>0</v>
      </c>
      <c r="M163" s="13"/>
      <c r="N163" s="13"/>
      <c r="O163" s="13"/>
      <c r="P163" s="13"/>
      <c r="Q163" s="13"/>
      <c r="R163" s="12"/>
      <c r="S163" s="12"/>
      <c r="T163" s="12"/>
      <c r="U163" s="12"/>
      <c r="V163" s="1"/>
      <c r="W163" s="1"/>
      <c r="X163" s="1"/>
      <c r="Y163" s="1"/>
    </row>
    <row r="164" spans="1:25" s="2" customFormat="1" ht="13.5" thickBot="1">
      <c r="A164" s="62" t="s">
        <v>69</v>
      </c>
      <c r="B164" s="63">
        <v>8</v>
      </c>
      <c r="C164" s="63">
        <v>2</v>
      </c>
      <c r="D164" s="64">
        <v>2</v>
      </c>
      <c r="E164" s="64">
        <v>2</v>
      </c>
      <c r="F164" s="31">
        <v>3.6</v>
      </c>
      <c r="G164" s="64">
        <f t="shared" si="26"/>
        <v>7.2</v>
      </c>
      <c r="H164" s="64">
        <f t="shared" si="24"/>
        <v>0.6</v>
      </c>
      <c r="I164" s="63"/>
      <c r="J164" s="63"/>
      <c r="K164" s="63"/>
      <c r="L164" s="32">
        <f t="shared" si="25"/>
        <v>0</v>
      </c>
      <c r="M164" s="13"/>
      <c r="N164" s="13"/>
      <c r="O164" s="13"/>
      <c r="P164" s="13"/>
      <c r="Q164" s="13"/>
      <c r="R164" s="12"/>
      <c r="S164" s="12"/>
      <c r="T164" s="12"/>
      <c r="U164" s="12"/>
      <c r="V164" s="1"/>
      <c r="W164" s="1"/>
      <c r="X164" s="1"/>
      <c r="Y164" s="1"/>
    </row>
    <row r="165" spans="1:25" s="2" customFormat="1" ht="13.5" thickBot="1">
      <c r="A165" s="62" t="s">
        <v>72</v>
      </c>
      <c r="B165" s="63">
        <v>8</v>
      </c>
      <c r="C165" s="63">
        <v>2</v>
      </c>
      <c r="D165" s="64">
        <v>2</v>
      </c>
      <c r="E165" s="64">
        <v>2</v>
      </c>
      <c r="F165" s="31">
        <v>2.2000000000000002</v>
      </c>
      <c r="G165" s="64">
        <f t="shared" si="26"/>
        <v>4.4000000000000004</v>
      </c>
      <c r="H165" s="64">
        <f t="shared" si="24"/>
        <v>0.3666666666666667</v>
      </c>
      <c r="I165" s="63">
        <v>1</v>
      </c>
      <c r="J165" s="63"/>
      <c r="K165" s="63"/>
      <c r="L165" s="32">
        <f t="shared" si="25"/>
        <v>1</v>
      </c>
      <c r="M165" s="13"/>
      <c r="N165" s="13"/>
      <c r="O165" s="13"/>
      <c r="P165" s="13"/>
      <c r="Q165" s="13"/>
      <c r="R165" s="12"/>
      <c r="S165" s="12"/>
      <c r="T165" s="12"/>
      <c r="U165" s="12"/>
      <c r="V165" s="1"/>
      <c r="W165" s="1"/>
      <c r="X165" s="1"/>
      <c r="Y165" s="1"/>
    </row>
    <row r="166" spans="1:25" s="2" customFormat="1" ht="13.5" thickBot="1">
      <c r="A166" s="62" t="s">
        <v>72</v>
      </c>
      <c r="B166" s="63">
        <v>8</v>
      </c>
      <c r="C166" s="63">
        <v>1</v>
      </c>
      <c r="D166" s="64">
        <v>1</v>
      </c>
      <c r="E166" s="64">
        <v>2</v>
      </c>
      <c r="F166" s="31">
        <v>2.2000000000000002</v>
      </c>
      <c r="G166" s="64">
        <f t="shared" si="26"/>
        <v>4.4000000000000004</v>
      </c>
      <c r="H166" s="64">
        <f t="shared" si="24"/>
        <v>0.3666666666666667</v>
      </c>
      <c r="I166" s="63">
        <v>1</v>
      </c>
      <c r="J166" s="63"/>
      <c r="K166" s="63"/>
      <c r="L166" s="32">
        <f t="shared" si="25"/>
        <v>1</v>
      </c>
      <c r="M166" s="13"/>
      <c r="N166" s="13"/>
      <c r="O166" s="13"/>
      <c r="P166" s="13"/>
      <c r="Q166" s="13"/>
      <c r="R166" s="12"/>
      <c r="S166" s="12"/>
      <c r="T166" s="12"/>
      <c r="U166" s="12"/>
      <c r="V166" s="1"/>
      <c r="W166" s="1"/>
      <c r="X166" s="1"/>
      <c r="Y166" s="1"/>
    </row>
    <row r="167" spans="1:25" s="2" customFormat="1" ht="13.5" thickBot="1">
      <c r="A167" s="62" t="s">
        <v>73</v>
      </c>
      <c r="B167" s="63">
        <v>8</v>
      </c>
      <c r="C167" s="63">
        <v>1</v>
      </c>
      <c r="D167" s="64">
        <v>1</v>
      </c>
      <c r="E167" s="64">
        <v>2</v>
      </c>
      <c r="F167" s="31">
        <v>2.85</v>
      </c>
      <c r="G167" s="64">
        <f t="shared" si="26"/>
        <v>5.7</v>
      </c>
      <c r="H167" s="64">
        <f t="shared" si="24"/>
        <v>0.47500000000000003</v>
      </c>
      <c r="I167" s="63"/>
      <c r="J167" s="63"/>
      <c r="K167" s="63"/>
      <c r="L167" s="32">
        <f t="shared" si="25"/>
        <v>0</v>
      </c>
      <c r="M167" s="13"/>
      <c r="N167" s="13"/>
      <c r="O167" s="13"/>
      <c r="P167" s="13"/>
      <c r="Q167" s="13"/>
      <c r="R167" s="12"/>
      <c r="S167" s="12"/>
      <c r="T167" s="12"/>
      <c r="U167" s="12"/>
      <c r="V167" s="1"/>
      <c r="W167" s="1"/>
      <c r="X167" s="1"/>
      <c r="Y167" s="1"/>
    </row>
    <row r="168" spans="1:25" s="2" customFormat="1" ht="13.5" thickBot="1">
      <c r="A168" s="62" t="s">
        <v>73</v>
      </c>
      <c r="B168" s="63">
        <v>8</v>
      </c>
      <c r="C168" s="63">
        <v>1</v>
      </c>
      <c r="D168" s="64">
        <v>1</v>
      </c>
      <c r="E168" s="64">
        <v>2</v>
      </c>
      <c r="F168" s="31">
        <v>2.5499999999999998</v>
      </c>
      <c r="G168" s="64">
        <f t="shared" si="26"/>
        <v>5.0999999999999996</v>
      </c>
      <c r="H168" s="64">
        <f t="shared" si="24"/>
        <v>0.42499999999999999</v>
      </c>
      <c r="I168" s="63"/>
      <c r="J168" s="63"/>
      <c r="K168" s="63"/>
      <c r="L168" s="32">
        <f t="shared" si="25"/>
        <v>0</v>
      </c>
      <c r="M168" s="13"/>
      <c r="N168" s="13"/>
      <c r="O168" s="13"/>
      <c r="P168" s="13"/>
      <c r="Q168" s="13"/>
      <c r="R168" s="12"/>
      <c r="S168" s="12"/>
      <c r="T168" s="12"/>
      <c r="U168" s="12"/>
      <c r="V168" s="1"/>
      <c r="W168" s="1"/>
      <c r="X168" s="1"/>
      <c r="Y168" s="1"/>
    </row>
    <row r="169" spans="1:25" s="2" customFormat="1" ht="13.5" thickBot="1">
      <c r="A169" s="62" t="s">
        <v>74</v>
      </c>
      <c r="B169" s="63">
        <v>8</v>
      </c>
      <c r="C169" s="63">
        <v>1</v>
      </c>
      <c r="D169" s="64">
        <v>1</v>
      </c>
      <c r="E169" s="64">
        <v>2</v>
      </c>
      <c r="F169" s="31">
        <v>7.6</v>
      </c>
      <c r="G169" s="64">
        <f t="shared" si="26"/>
        <v>15.2</v>
      </c>
      <c r="H169" s="64">
        <f t="shared" si="24"/>
        <v>1.2666666666666666</v>
      </c>
      <c r="I169" s="63">
        <v>2</v>
      </c>
      <c r="J169" s="63"/>
      <c r="K169" s="63"/>
      <c r="L169" s="32">
        <f t="shared" si="25"/>
        <v>2</v>
      </c>
      <c r="M169" s="13"/>
      <c r="N169" s="13"/>
      <c r="O169" s="13"/>
      <c r="P169" s="13"/>
      <c r="Q169" s="13"/>
      <c r="R169" s="12"/>
      <c r="S169" s="12"/>
      <c r="T169" s="12"/>
      <c r="U169" s="12"/>
      <c r="V169" s="1"/>
      <c r="W169" s="1"/>
      <c r="X169" s="1"/>
      <c r="Y169" s="1"/>
    </row>
    <row r="170" spans="1:25" s="2" customFormat="1" ht="13.5" thickBot="1">
      <c r="A170" s="62" t="s">
        <v>75</v>
      </c>
      <c r="B170" s="63">
        <v>8</v>
      </c>
      <c r="C170" s="63">
        <v>1</v>
      </c>
      <c r="D170" s="64">
        <v>1</v>
      </c>
      <c r="E170" s="64">
        <v>2</v>
      </c>
      <c r="F170" s="31">
        <v>8.0500000000000007</v>
      </c>
      <c r="G170" s="64">
        <f t="shared" si="26"/>
        <v>16.100000000000001</v>
      </c>
      <c r="H170" s="64">
        <f t="shared" si="24"/>
        <v>1.3416666666666668</v>
      </c>
      <c r="I170" s="63">
        <v>1</v>
      </c>
      <c r="J170" s="63"/>
      <c r="K170" s="63"/>
      <c r="L170" s="32">
        <f t="shared" si="25"/>
        <v>1</v>
      </c>
      <c r="M170" s="13"/>
      <c r="N170" s="13"/>
      <c r="O170" s="13"/>
      <c r="P170" s="13"/>
      <c r="Q170" s="13"/>
      <c r="R170" s="12"/>
      <c r="S170" s="12"/>
      <c r="T170" s="12"/>
      <c r="U170" s="12"/>
      <c r="V170" s="1"/>
      <c r="W170" s="1"/>
      <c r="X170" s="1"/>
      <c r="Y170" s="1"/>
    </row>
    <row r="171" spans="1:25" s="2" customFormat="1" ht="13.5" thickBot="1">
      <c r="A171" s="62" t="s">
        <v>76</v>
      </c>
      <c r="B171" s="63">
        <v>8</v>
      </c>
      <c r="C171" s="63">
        <v>1</v>
      </c>
      <c r="D171" s="64">
        <v>1</v>
      </c>
      <c r="E171" s="64">
        <v>2</v>
      </c>
      <c r="F171" s="31">
        <v>5.95</v>
      </c>
      <c r="G171" s="64">
        <f t="shared" si="26"/>
        <v>11.9</v>
      </c>
      <c r="H171" s="64">
        <f t="shared" si="24"/>
        <v>0.9916666666666667</v>
      </c>
      <c r="I171" s="63">
        <v>1</v>
      </c>
      <c r="J171" s="63"/>
      <c r="K171" s="63"/>
      <c r="L171" s="32">
        <f t="shared" si="25"/>
        <v>1</v>
      </c>
      <c r="M171" s="13"/>
      <c r="N171" s="13"/>
      <c r="O171" s="13"/>
      <c r="P171" s="13"/>
      <c r="Q171" s="13"/>
      <c r="R171" s="12"/>
      <c r="S171" s="12"/>
      <c r="T171" s="12"/>
      <c r="U171" s="12"/>
      <c r="V171" s="1"/>
      <c r="W171" s="1"/>
      <c r="X171" s="1"/>
      <c r="Y171" s="1"/>
    </row>
    <row r="172" spans="1:25" s="2" customFormat="1" ht="13.5" thickBot="1">
      <c r="A172" s="62" t="s">
        <v>76</v>
      </c>
      <c r="B172" s="63">
        <v>8</v>
      </c>
      <c r="C172" s="63">
        <v>1</v>
      </c>
      <c r="D172" s="64">
        <v>1</v>
      </c>
      <c r="E172" s="64">
        <v>2</v>
      </c>
      <c r="F172" s="31">
        <v>2.75</v>
      </c>
      <c r="G172" s="64">
        <f t="shared" si="26"/>
        <v>5.5</v>
      </c>
      <c r="H172" s="64">
        <f t="shared" si="24"/>
        <v>0.45833333333333331</v>
      </c>
      <c r="I172" s="63"/>
      <c r="J172" s="63"/>
      <c r="K172" s="63"/>
      <c r="L172" s="32">
        <f t="shared" si="25"/>
        <v>0</v>
      </c>
      <c r="M172" s="13"/>
      <c r="N172" s="13"/>
      <c r="O172" s="13"/>
      <c r="P172" s="13"/>
      <c r="Q172" s="13"/>
      <c r="R172" s="12"/>
      <c r="S172" s="12"/>
      <c r="T172" s="12"/>
      <c r="U172" s="12"/>
      <c r="V172" s="1"/>
      <c r="W172" s="1"/>
      <c r="X172" s="1"/>
      <c r="Y172" s="1"/>
    </row>
    <row r="173" spans="1:25" s="2" customFormat="1" ht="13.5" thickBot="1">
      <c r="A173" s="62" t="s">
        <v>79</v>
      </c>
      <c r="B173" s="63">
        <v>8</v>
      </c>
      <c r="C173" s="63">
        <v>1</v>
      </c>
      <c r="D173" s="64">
        <v>1</v>
      </c>
      <c r="E173" s="64">
        <v>2</v>
      </c>
      <c r="F173" s="31">
        <v>4.2</v>
      </c>
      <c r="G173" s="64">
        <f t="shared" si="26"/>
        <v>8.4</v>
      </c>
      <c r="H173" s="64">
        <f t="shared" si="24"/>
        <v>0.70000000000000007</v>
      </c>
      <c r="I173" s="63"/>
      <c r="J173" s="63"/>
      <c r="K173" s="63"/>
      <c r="L173" s="32">
        <f t="shared" si="25"/>
        <v>0</v>
      </c>
      <c r="M173" s="13"/>
      <c r="N173" s="13"/>
      <c r="O173" s="13"/>
      <c r="P173" s="13"/>
      <c r="Q173" s="13"/>
      <c r="R173" s="12"/>
      <c r="S173" s="12"/>
      <c r="T173" s="12"/>
      <c r="U173" s="12"/>
      <c r="V173" s="1"/>
      <c r="W173" s="1"/>
      <c r="X173" s="1"/>
      <c r="Y173" s="1"/>
    </row>
    <row r="174" spans="1:25" s="2" customFormat="1" ht="13.5" thickBot="1">
      <c r="A174" s="62" t="s">
        <v>79</v>
      </c>
      <c r="B174" s="63">
        <v>8</v>
      </c>
      <c r="C174" s="63">
        <v>1</v>
      </c>
      <c r="D174" s="64">
        <v>1</v>
      </c>
      <c r="E174" s="64">
        <v>2</v>
      </c>
      <c r="F174" s="31">
        <v>5.0999999999999996</v>
      </c>
      <c r="G174" s="64">
        <f t="shared" si="26"/>
        <v>10.199999999999999</v>
      </c>
      <c r="H174" s="64">
        <f t="shared" si="24"/>
        <v>0.85</v>
      </c>
      <c r="I174" s="63">
        <v>2</v>
      </c>
      <c r="J174" s="63"/>
      <c r="K174" s="63"/>
      <c r="L174" s="32">
        <f t="shared" si="25"/>
        <v>2</v>
      </c>
      <c r="M174" s="13"/>
      <c r="N174" s="13"/>
      <c r="O174" s="13"/>
      <c r="P174" s="13"/>
      <c r="Q174" s="13"/>
      <c r="R174" s="12"/>
      <c r="S174" s="12"/>
      <c r="T174" s="12"/>
      <c r="U174" s="12"/>
      <c r="V174" s="1"/>
      <c r="W174" s="1"/>
      <c r="X174" s="1"/>
      <c r="Y174" s="1"/>
    </row>
    <row r="175" spans="1:25" s="2" customFormat="1" ht="13.5" thickBot="1">
      <c r="A175" s="62" t="s">
        <v>80</v>
      </c>
      <c r="B175" s="63">
        <v>8</v>
      </c>
      <c r="C175" s="63">
        <v>1</v>
      </c>
      <c r="D175" s="64">
        <v>1</v>
      </c>
      <c r="E175" s="64">
        <v>2</v>
      </c>
      <c r="F175" s="31">
        <v>8.0500000000000007</v>
      </c>
      <c r="G175" s="64">
        <f t="shared" si="26"/>
        <v>16.100000000000001</v>
      </c>
      <c r="H175" s="64">
        <f t="shared" si="24"/>
        <v>1.3416666666666668</v>
      </c>
      <c r="I175" s="63">
        <v>1</v>
      </c>
      <c r="J175" s="63"/>
      <c r="K175" s="63"/>
      <c r="L175" s="32">
        <f t="shared" si="25"/>
        <v>1</v>
      </c>
      <c r="M175" s="13"/>
      <c r="N175" s="13"/>
      <c r="O175" s="13"/>
      <c r="P175" s="13"/>
      <c r="Q175" s="13"/>
      <c r="R175" s="12"/>
      <c r="S175" s="12"/>
      <c r="T175" s="12"/>
      <c r="U175" s="12"/>
      <c r="V175" s="1"/>
      <c r="W175" s="1"/>
      <c r="X175" s="1"/>
      <c r="Y175" s="1"/>
    </row>
    <row r="176" spans="1:25" s="2" customFormat="1" ht="13.5" thickBot="1">
      <c r="A176" s="62" t="s">
        <v>81</v>
      </c>
      <c r="B176" s="63">
        <v>8</v>
      </c>
      <c r="C176" s="63">
        <v>1</v>
      </c>
      <c r="D176" s="64">
        <v>1</v>
      </c>
      <c r="E176" s="64">
        <v>29</v>
      </c>
      <c r="F176" s="31">
        <v>3.6</v>
      </c>
      <c r="G176" s="64">
        <f t="shared" si="26"/>
        <v>104.4</v>
      </c>
      <c r="H176" s="64">
        <f t="shared" si="24"/>
        <v>8.7000000000000011</v>
      </c>
      <c r="I176" s="63">
        <v>9</v>
      </c>
      <c r="J176" s="63"/>
      <c r="K176" s="63"/>
      <c r="L176" s="32">
        <f t="shared" si="25"/>
        <v>9</v>
      </c>
      <c r="M176" s="13"/>
      <c r="N176" s="13"/>
      <c r="O176" s="13"/>
      <c r="P176" s="13"/>
      <c r="Q176" s="13"/>
      <c r="R176" s="12"/>
      <c r="S176" s="12"/>
      <c r="T176" s="12"/>
      <c r="U176" s="12"/>
      <c r="V176" s="1"/>
      <c r="W176" s="1"/>
      <c r="X176" s="1"/>
      <c r="Y176" s="1"/>
    </row>
    <row r="177" spans="1:25" s="2" customFormat="1" ht="13.5" thickBot="1">
      <c r="A177" s="62" t="s">
        <v>81</v>
      </c>
      <c r="B177" s="63">
        <v>8</v>
      </c>
      <c r="C177" s="63">
        <v>1</v>
      </c>
      <c r="D177" s="64">
        <v>1</v>
      </c>
      <c r="E177" s="64">
        <v>23</v>
      </c>
      <c r="F177" s="31">
        <v>4.4000000000000004</v>
      </c>
      <c r="G177" s="64">
        <f t="shared" si="26"/>
        <v>101.2</v>
      </c>
      <c r="H177" s="64">
        <f t="shared" si="24"/>
        <v>8.4333333333333336</v>
      </c>
      <c r="I177" s="63">
        <v>9</v>
      </c>
      <c r="J177" s="63"/>
      <c r="K177" s="63"/>
      <c r="L177" s="32">
        <f t="shared" si="25"/>
        <v>9</v>
      </c>
      <c r="M177" s="13"/>
      <c r="N177" s="13"/>
      <c r="O177" s="13"/>
      <c r="P177" s="13"/>
      <c r="Q177" s="13"/>
      <c r="R177" s="12"/>
      <c r="S177" s="12"/>
      <c r="T177" s="12"/>
      <c r="U177" s="12"/>
      <c r="V177" s="1"/>
      <c r="W177" s="1"/>
      <c r="X177" s="1"/>
      <c r="Y177" s="1"/>
    </row>
    <row r="178" spans="1:25" s="2" customFormat="1" ht="13.5" thickBot="1">
      <c r="A178" s="62" t="s">
        <v>81</v>
      </c>
      <c r="B178" s="63">
        <v>8</v>
      </c>
      <c r="C178" s="63">
        <v>1</v>
      </c>
      <c r="D178" s="64">
        <v>1</v>
      </c>
      <c r="E178" s="64">
        <v>48</v>
      </c>
      <c r="F178" s="31">
        <v>4.7</v>
      </c>
      <c r="G178" s="64">
        <f t="shared" si="26"/>
        <v>225.60000000000002</v>
      </c>
      <c r="H178" s="64">
        <f t="shared" si="24"/>
        <v>18.8</v>
      </c>
      <c r="I178" s="63">
        <v>19</v>
      </c>
      <c r="J178" s="63"/>
      <c r="K178" s="63"/>
      <c r="L178" s="32">
        <f t="shared" si="25"/>
        <v>19</v>
      </c>
      <c r="M178" s="13"/>
      <c r="N178" s="13"/>
      <c r="O178" s="13"/>
      <c r="P178" s="13"/>
      <c r="Q178" s="13"/>
      <c r="R178" s="12"/>
      <c r="S178" s="12"/>
      <c r="T178" s="12"/>
      <c r="U178" s="12"/>
      <c r="V178" s="1"/>
      <c r="W178" s="1"/>
      <c r="X178" s="1"/>
      <c r="Y178" s="1"/>
    </row>
    <row r="179" spans="1:25" s="2" customFormat="1" ht="13.5" thickBot="1">
      <c r="A179" s="62" t="s">
        <v>113</v>
      </c>
      <c r="B179" s="63">
        <v>8</v>
      </c>
      <c r="C179" s="63">
        <v>1</v>
      </c>
      <c r="D179" s="64">
        <v>1</v>
      </c>
      <c r="E179" s="64">
        <v>29</v>
      </c>
      <c r="F179" s="31">
        <v>3.69</v>
      </c>
      <c r="G179" s="64">
        <f t="shared" si="26"/>
        <v>107.01</v>
      </c>
      <c r="H179" s="64">
        <f t="shared" si="24"/>
        <v>8.9175000000000004</v>
      </c>
      <c r="I179" s="63">
        <v>9</v>
      </c>
      <c r="J179" s="63"/>
      <c r="K179" s="63"/>
      <c r="L179" s="32">
        <f t="shared" si="25"/>
        <v>9</v>
      </c>
      <c r="M179" s="13"/>
      <c r="N179" s="13"/>
      <c r="O179" s="13"/>
      <c r="P179" s="13"/>
      <c r="Q179" s="13"/>
      <c r="R179" s="12"/>
      <c r="S179" s="12"/>
      <c r="T179" s="12"/>
      <c r="U179" s="12"/>
      <c r="V179" s="1"/>
      <c r="W179" s="1"/>
      <c r="X179" s="1"/>
      <c r="Y179" s="1"/>
    </row>
    <row r="180" spans="1:25" s="2" customFormat="1" ht="13.5" thickBot="1">
      <c r="A180" s="62" t="s">
        <v>113</v>
      </c>
      <c r="B180" s="63">
        <v>8</v>
      </c>
      <c r="C180" s="63">
        <v>1</v>
      </c>
      <c r="D180" s="64">
        <v>1</v>
      </c>
      <c r="E180" s="64">
        <v>23</v>
      </c>
      <c r="F180" s="31">
        <v>4.49</v>
      </c>
      <c r="G180" s="64">
        <f t="shared" si="26"/>
        <v>103.27000000000001</v>
      </c>
      <c r="H180" s="64">
        <f t="shared" si="24"/>
        <v>8.6058333333333348</v>
      </c>
      <c r="I180" s="63">
        <v>9</v>
      </c>
      <c r="J180" s="63"/>
      <c r="K180" s="63"/>
      <c r="L180" s="32">
        <f t="shared" si="25"/>
        <v>9</v>
      </c>
      <c r="M180" s="13"/>
      <c r="N180" s="13"/>
      <c r="O180" s="13"/>
      <c r="P180" s="13"/>
      <c r="Q180" s="13"/>
      <c r="R180" s="12"/>
      <c r="S180" s="12"/>
      <c r="T180" s="12"/>
      <c r="U180" s="12"/>
      <c r="V180" s="1"/>
      <c r="W180" s="1"/>
      <c r="X180" s="1"/>
      <c r="Y180" s="1"/>
    </row>
    <row r="181" spans="1:25" s="2" customFormat="1" ht="13.5" thickBot="1">
      <c r="A181" s="62" t="s">
        <v>114</v>
      </c>
      <c r="B181" s="63">
        <v>8</v>
      </c>
      <c r="C181" s="63">
        <v>1</v>
      </c>
      <c r="D181" s="64">
        <v>1</v>
      </c>
      <c r="E181" s="64">
        <v>31</v>
      </c>
      <c r="F181" s="31">
        <v>1.32</v>
      </c>
      <c r="G181" s="64">
        <f t="shared" si="26"/>
        <v>40.92</v>
      </c>
      <c r="H181" s="64">
        <f t="shared" si="24"/>
        <v>3.41</v>
      </c>
      <c r="I181" s="63">
        <v>3</v>
      </c>
      <c r="J181" s="63"/>
      <c r="K181" s="63"/>
      <c r="L181" s="32">
        <f t="shared" si="25"/>
        <v>3</v>
      </c>
      <c r="M181" s="13"/>
      <c r="N181" s="13"/>
      <c r="O181" s="13"/>
      <c r="P181" s="13"/>
      <c r="Q181" s="13"/>
      <c r="R181" s="12"/>
      <c r="S181" s="12"/>
      <c r="T181" s="12"/>
      <c r="U181" s="12"/>
      <c r="V181" s="1"/>
      <c r="W181" s="1"/>
      <c r="X181" s="1"/>
      <c r="Y181" s="1"/>
    </row>
    <row r="182" spans="1:25" s="2" customFormat="1" ht="13.5" thickBot="1">
      <c r="A182" s="62" t="s">
        <v>115</v>
      </c>
      <c r="B182" s="63">
        <v>8</v>
      </c>
      <c r="C182" s="63">
        <v>1</v>
      </c>
      <c r="D182" s="64">
        <v>1</v>
      </c>
      <c r="E182" s="64">
        <v>13</v>
      </c>
      <c r="F182" s="31">
        <v>1.68</v>
      </c>
      <c r="G182" s="64">
        <f t="shared" si="26"/>
        <v>21.84</v>
      </c>
      <c r="H182" s="64">
        <f t="shared" si="24"/>
        <v>1.82</v>
      </c>
      <c r="I182" s="63">
        <v>2</v>
      </c>
      <c r="J182" s="63"/>
      <c r="K182" s="63"/>
      <c r="L182" s="32">
        <f t="shared" si="25"/>
        <v>2</v>
      </c>
      <c r="M182" s="13"/>
      <c r="N182" s="13"/>
      <c r="O182" s="13"/>
      <c r="P182" s="13"/>
      <c r="Q182" s="13"/>
      <c r="R182" s="12"/>
      <c r="S182" s="12"/>
      <c r="T182" s="12"/>
      <c r="U182" s="12"/>
      <c r="V182" s="1"/>
      <c r="W182" s="1"/>
      <c r="X182" s="1"/>
      <c r="Y182" s="1"/>
    </row>
    <row r="183" spans="1:25" s="24" customFormat="1" ht="13.5" thickBot="1">
      <c r="A183" s="24" t="s">
        <v>83</v>
      </c>
      <c r="B183" s="27">
        <v>8</v>
      </c>
      <c r="C183" s="27">
        <v>1</v>
      </c>
      <c r="D183" s="69">
        <v>1</v>
      </c>
      <c r="E183" s="69">
        <v>2</v>
      </c>
      <c r="F183" s="69">
        <v>4</v>
      </c>
      <c r="G183" s="69">
        <f t="shared" si="26"/>
        <v>8</v>
      </c>
      <c r="H183" s="69">
        <f t="shared" si="24"/>
        <v>0.66666666666666663</v>
      </c>
      <c r="I183" s="27">
        <v>1</v>
      </c>
      <c r="J183" s="27"/>
      <c r="K183" s="27"/>
      <c r="L183" s="32">
        <f t="shared" si="25"/>
        <v>1</v>
      </c>
      <c r="M183" s="68"/>
      <c r="N183" s="68"/>
      <c r="O183" s="68"/>
      <c r="P183" s="68"/>
      <c r="Q183" s="68"/>
    </row>
    <row r="184" spans="1:25" s="24" customFormat="1" ht="13.5" thickBot="1">
      <c r="A184" s="24" t="s">
        <v>85</v>
      </c>
      <c r="B184" s="27">
        <v>8</v>
      </c>
      <c r="C184" s="27">
        <v>1</v>
      </c>
      <c r="D184" s="69">
        <v>1</v>
      </c>
      <c r="E184" s="69">
        <v>2</v>
      </c>
      <c r="F184" s="69">
        <v>8.0500000000000007</v>
      </c>
      <c r="G184" s="69">
        <f t="shared" si="26"/>
        <v>16.100000000000001</v>
      </c>
      <c r="H184" s="69">
        <f t="shared" si="24"/>
        <v>1.3416666666666668</v>
      </c>
      <c r="I184" s="27">
        <v>1</v>
      </c>
      <c r="J184" s="27"/>
      <c r="K184" s="27"/>
      <c r="L184" s="32">
        <f t="shared" si="25"/>
        <v>1</v>
      </c>
      <c r="M184" s="68"/>
      <c r="N184" s="68"/>
      <c r="O184" s="68"/>
      <c r="P184" s="68"/>
      <c r="Q184" s="68"/>
    </row>
    <row r="185" spans="1:25" s="24" customFormat="1" ht="13.5" thickBot="1">
      <c r="A185" s="24" t="s">
        <v>86</v>
      </c>
      <c r="B185" s="27">
        <v>8</v>
      </c>
      <c r="C185" s="27">
        <v>1</v>
      </c>
      <c r="D185" s="69">
        <v>1</v>
      </c>
      <c r="E185" s="69">
        <v>2</v>
      </c>
      <c r="F185" s="69">
        <v>7.05</v>
      </c>
      <c r="G185" s="69">
        <f t="shared" si="26"/>
        <v>14.1</v>
      </c>
      <c r="H185" s="69">
        <f t="shared" si="24"/>
        <v>1.175</v>
      </c>
      <c r="I185" s="27">
        <v>2</v>
      </c>
      <c r="J185" s="27"/>
      <c r="K185" s="27"/>
      <c r="L185" s="32">
        <f t="shared" si="25"/>
        <v>2</v>
      </c>
      <c r="M185" s="68"/>
      <c r="N185" s="68"/>
      <c r="O185" s="68"/>
      <c r="P185" s="68"/>
      <c r="Q185" s="68"/>
    </row>
    <row r="186" spans="1:25" s="24" customFormat="1" ht="13.5" thickBot="1">
      <c r="A186" s="24" t="s">
        <v>116</v>
      </c>
      <c r="B186" s="27">
        <v>8</v>
      </c>
      <c r="C186" s="27">
        <v>1</v>
      </c>
      <c r="D186" s="69">
        <v>1</v>
      </c>
      <c r="E186" s="69">
        <v>40</v>
      </c>
      <c r="F186" s="69">
        <v>3.6</v>
      </c>
      <c r="G186" s="69">
        <f t="shared" ref="G186:G217" si="27">+F186*E186</f>
        <v>144</v>
      </c>
      <c r="H186" s="69">
        <f t="shared" si="24"/>
        <v>12</v>
      </c>
      <c r="I186" s="27">
        <v>12</v>
      </c>
      <c r="J186" s="27"/>
      <c r="K186" s="27"/>
      <c r="L186" s="32">
        <f t="shared" si="25"/>
        <v>12</v>
      </c>
      <c r="M186" s="68"/>
      <c r="N186" s="68"/>
      <c r="O186" s="68"/>
      <c r="P186" s="68"/>
      <c r="Q186" s="68"/>
    </row>
    <row r="187" spans="1:25" s="71" customFormat="1" ht="13.5" thickBot="1">
      <c r="A187" s="71" t="s">
        <v>92</v>
      </c>
      <c r="B187" s="72">
        <v>8</v>
      </c>
      <c r="C187" s="72">
        <v>1</v>
      </c>
      <c r="D187" s="73">
        <v>1</v>
      </c>
      <c r="E187" s="73">
        <v>2</v>
      </c>
      <c r="F187" s="73">
        <v>12</v>
      </c>
      <c r="G187" s="73">
        <f t="shared" si="27"/>
        <v>24</v>
      </c>
      <c r="H187" s="73">
        <f t="shared" si="24"/>
        <v>2</v>
      </c>
      <c r="I187" s="72">
        <v>2</v>
      </c>
      <c r="J187" s="72"/>
      <c r="K187" s="72"/>
      <c r="L187" s="32">
        <f t="shared" si="25"/>
        <v>2</v>
      </c>
      <c r="M187" s="74"/>
      <c r="N187" s="74"/>
      <c r="O187" s="74"/>
      <c r="P187" s="74"/>
      <c r="Q187" s="74"/>
    </row>
    <row r="188" spans="1:25" s="71" customFormat="1" ht="13.5" thickBot="1">
      <c r="A188" s="71" t="s">
        <v>92</v>
      </c>
      <c r="B188" s="72">
        <v>8</v>
      </c>
      <c r="C188" s="72">
        <v>1</v>
      </c>
      <c r="D188" s="73">
        <v>1</v>
      </c>
      <c r="E188" s="73">
        <v>2</v>
      </c>
      <c r="F188" s="73">
        <v>7</v>
      </c>
      <c r="G188" s="73">
        <f t="shared" si="27"/>
        <v>14</v>
      </c>
      <c r="H188" s="73">
        <f t="shared" si="24"/>
        <v>1.1666666666666667</v>
      </c>
      <c r="I188" s="72">
        <v>2</v>
      </c>
      <c r="J188" s="72"/>
      <c r="K188" s="72"/>
      <c r="L188" s="32">
        <f t="shared" si="25"/>
        <v>2</v>
      </c>
      <c r="M188" s="74"/>
      <c r="N188" s="74"/>
      <c r="O188" s="74"/>
      <c r="P188" s="74"/>
      <c r="Q188" s="74"/>
    </row>
    <row r="189" spans="1:25" s="71" customFormat="1" ht="13.5" thickBot="1">
      <c r="A189" s="71" t="s">
        <v>93</v>
      </c>
      <c r="B189" s="72">
        <v>8</v>
      </c>
      <c r="C189" s="72">
        <v>1</v>
      </c>
      <c r="D189" s="73">
        <v>1</v>
      </c>
      <c r="E189" s="73">
        <v>2</v>
      </c>
      <c r="F189" s="73">
        <v>5.4</v>
      </c>
      <c r="G189" s="73">
        <f t="shared" si="27"/>
        <v>10.8</v>
      </c>
      <c r="H189" s="73">
        <f t="shared" si="24"/>
        <v>0.9</v>
      </c>
      <c r="I189" s="72">
        <v>1</v>
      </c>
      <c r="J189" s="72"/>
      <c r="K189" s="72"/>
      <c r="L189" s="32">
        <f t="shared" si="25"/>
        <v>1</v>
      </c>
      <c r="M189" s="74"/>
      <c r="N189" s="74"/>
      <c r="O189" s="74"/>
      <c r="P189" s="74"/>
      <c r="Q189" s="74"/>
    </row>
    <row r="190" spans="1:25" s="71" customFormat="1" ht="13.5" thickBot="1">
      <c r="A190" s="71" t="s">
        <v>95</v>
      </c>
      <c r="B190" s="72">
        <v>8</v>
      </c>
      <c r="C190" s="72">
        <v>1</v>
      </c>
      <c r="D190" s="73">
        <v>1</v>
      </c>
      <c r="E190" s="73">
        <v>2</v>
      </c>
      <c r="F190" s="73">
        <v>2.11</v>
      </c>
      <c r="G190" s="73">
        <f t="shared" si="27"/>
        <v>4.22</v>
      </c>
      <c r="H190" s="73">
        <f t="shared" si="24"/>
        <v>0.35166666666666663</v>
      </c>
      <c r="I190" s="72"/>
      <c r="J190" s="72"/>
      <c r="K190" s="72"/>
      <c r="L190" s="32">
        <f t="shared" si="25"/>
        <v>0</v>
      </c>
      <c r="M190" s="74"/>
      <c r="N190" s="74"/>
      <c r="O190" s="74"/>
      <c r="P190" s="74"/>
      <c r="Q190" s="74"/>
    </row>
    <row r="191" spans="1:25" s="71" customFormat="1" ht="13.5" thickBot="1">
      <c r="A191" s="71" t="s">
        <v>95</v>
      </c>
      <c r="B191" s="72">
        <v>8</v>
      </c>
      <c r="C191" s="72">
        <v>1</v>
      </c>
      <c r="D191" s="73">
        <v>1</v>
      </c>
      <c r="E191" s="73">
        <v>2</v>
      </c>
      <c r="F191" s="73">
        <v>9.15</v>
      </c>
      <c r="G191" s="73">
        <f t="shared" si="27"/>
        <v>18.3</v>
      </c>
      <c r="H191" s="73">
        <f t="shared" si="24"/>
        <v>1.5250000000000001</v>
      </c>
      <c r="I191" s="72">
        <v>2</v>
      </c>
      <c r="J191" s="72"/>
      <c r="K191" s="72"/>
      <c r="L191" s="32">
        <f t="shared" si="25"/>
        <v>2</v>
      </c>
      <c r="M191" s="74"/>
      <c r="N191" s="74"/>
      <c r="O191" s="74"/>
      <c r="P191" s="74"/>
      <c r="Q191" s="74"/>
    </row>
    <row r="192" spans="1:25" s="71" customFormat="1" ht="13.5" thickBot="1">
      <c r="A192" s="71" t="s">
        <v>95</v>
      </c>
      <c r="B192" s="72">
        <v>8</v>
      </c>
      <c r="C192" s="72">
        <v>1</v>
      </c>
      <c r="D192" s="73">
        <v>1</v>
      </c>
      <c r="E192" s="73">
        <v>2</v>
      </c>
      <c r="F192" s="73">
        <v>9.15</v>
      </c>
      <c r="G192" s="73">
        <f t="shared" si="27"/>
        <v>18.3</v>
      </c>
      <c r="H192" s="73">
        <f t="shared" si="24"/>
        <v>1.5250000000000001</v>
      </c>
      <c r="I192" s="72">
        <v>2</v>
      </c>
      <c r="J192" s="72"/>
      <c r="K192" s="72"/>
      <c r="L192" s="32">
        <f t="shared" si="25"/>
        <v>2</v>
      </c>
      <c r="M192" s="74"/>
      <c r="N192" s="74"/>
      <c r="O192" s="74"/>
      <c r="P192" s="74"/>
      <c r="Q192" s="74"/>
    </row>
    <row r="193" spans="1:25" s="71" customFormat="1" ht="13.5" thickBot="1">
      <c r="A193" s="71" t="s">
        <v>98</v>
      </c>
      <c r="B193" s="72">
        <v>8</v>
      </c>
      <c r="C193" s="72">
        <v>1</v>
      </c>
      <c r="D193" s="73">
        <v>1</v>
      </c>
      <c r="E193" s="73">
        <v>2</v>
      </c>
      <c r="F193" s="73">
        <v>2.5499999999999998</v>
      </c>
      <c r="G193" s="73">
        <f t="shared" si="27"/>
        <v>5.0999999999999996</v>
      </c>
      <c r="H193" s="73">
        <f t="shared" si="24"/>
        <v>0.42499999999999999</v>
      </c>
      <c r="I193" s="72"/>
      <c r="J193" s="72"/>
      <c r="K193" s="72"/>
      <c r="L193" s="32">
        <f t="shared" si="25"/>
        <v>0</v>
      </c>
      <c r="M193" s="74"/>
      <c r="N193" s="74"/>
      <c r="O193" s="74"/>
      <c r="P193" s="74"/>
      <c r="Q193" s="74"/>
    </row>
    <row r="194" spans="1:25" s="71" customFormat="1" ht="13.5" thickBot="1">
      <c r="A194" s="71" t="s">
        <v>98</v>
      </c>
      <c r="B194" s="72">
        <v>8</v>
      </c>
      <c r="C194" s="72">
        <v>1</v>
      </c>
      <c r="D194" s="73">
        <v>1</v>
      </c>
      <c r="E194" s="73">
        <v>2</v>
      </c>
      <c r="F194" s="73">
        <v>4.32</v>
      </c>
      <c r="G194" s="73">
        <f t="shared" si="27"/>
        <v>8.64</v>
      </c>
      <c r="H194" s="73">
        <f t="shared" si="24"/>
        <v>0.72000000000000008</v>
      </c>
      <c r="I194" s="72">
        <v>1</v>
      </c>
      <c r="J194" s="72"/>
      <c r="K194" s="72"/>
      <c r="L194" s="32">
        <f t="shared" si="25"/>
        <v>1</v>
      </c>
      <c r="M194" s="74"/>
      <c r="N194" s="74"/>
      <c r="O194" s="74"/>
      <c r="P194" s="74"/>
      <c r="Q194" s="74"/>
    </row>
    <row r="195" spans="1:25" s="71" customFormat="1" ht="13.5" thickBot="1">
      <c r="A195" s="71" t="s">
        <v>99</v>
      </c>
      <c r="B195" s="72">
        <v>8</v>
      </c>
      <c r="C195" s="72">
        <v>1</v>
      </c>
      <c r="D195" s="73">
        <v>1</v>
      </c>
      <c r="E195" s="73">
        <v>2</v>
      </c>
      <c r="F195" s="73">
        <v>5</v>
      </c>
      <c r="G195" s="73">
        <f t="shared" si="27"/>
        <v>10</v>
      </c>
      <c r="H195" s="73">
        <f t="shared" si="24"/>
        <v>0.83333333333333337</v>
      </c>
      <c r="I195" s="72">
        <v>1</v>
      </c>
      <c r="J195" s="72"/>
      <c r="K195" s="72"/>
      <c r="L195" s="32">
        <f t="shared" si="25"/>
        <v>1</v>
      </c>
      <c r="M195" s="74"/>
      <c r="N195" s="74"/>
      <c r="O195" s="74"/>
      <c r="P195" s="74"/>
      <c r="Q195" s="74"/>
    </row>
    <row r="196" spans="1:25" s="71" customFormat="1" ht="13.5" thickBot="1">
      <c r="A196" s="71" t="s">
        <v>99</v>
      </c>
      <c r="B196" s="72">
        <v>8</v>
      </c>
      <c r="C196" s="72">
        <v>1</v>
      </c>
      <c r="D196" s="73">
        <v>1</v>
      </c>
      <c r="E196" s="73">
        <v>2</v>
      </c>
      <c r="F196" s="73">
        <v>5</v>
      </c>
      <c r="G196" s="73">
        <f t="shared" si="27"/>
        <v>10</v>
      </c>
      <c r="H196" s="73">
        <f t="shared" si="24"/>
        <v>0.83333333333333337</v>
      </c>
      <c r="I196" s="72">
        <v>1</v>
      </c>
      <c r="J196" s="72"/>
      <c r="K196" s="72"/>
      <c r="L196" s="32">
        <f t="shared" si="25"/>
        <v>1</v>
      </c>
      <c r="M196" s="74"/>
      <c r="N196" s="74"/>
      <c r="O196" s="74"/>
      <c r="P196" s="74"/>
      <c r="Q196" s="74"/>
    </row>
    <row r="197" spans="1:25" s="71" customFormat="1" ht="13.5" thickBot="1">
      <c r="A197" s="71">
        <v>409</v>
      </c>
      <c r="B197" s="72">
        <v>8</v>
      </c>
      <c r="C197" s="72">
        <v>1</v>
      </c>
      <c r="D197" s="73">
        <v>1</v>
      </c>
      <c r="E197" s="73">
        <v>29</v>
      </c>
      <c r="F197" s="73">
        <v>7.5</v>
      </c>
      <c r="G197" s="73">
        <f t="shared" si="27"/>
        <v>217.5</v>
      </c>
      <c r="H197" s="73">
        <f t="shared" si="24"/>
        <v>18.125</v>
      </c>
      <c r="I197" s="72">
        <v>18</v>
      </c>
      <c r="J197" s="72"/>
      <c r="K197" s="72"/>
      <c r="L197" s="32">
        <f t="shared" si="25"/>
        <v>18</v>
      </c>
      <c r="M197" s="74"/>
      <c r="N197" s="74"/>
      <c r="O197" s="74"/>
      <c r="P197" s="74"/>
      <c r="Q197" s="74"/>
    </row>
    <row r="198" spans="1:25" s="71" customFormat="1" ht="13.5" thickBot="1">
      <c r="A198" s="71">
        <v>409</v>
      </c>
      <c r="B198" s="72">
        <v>8</v>
      </c>
      <c r="C198" s="72">
        <v>1</v>
      </c>
      <c r="D198" s="73">
        <v>1</v>
      </c>
      <c r="E198" s="73">
        <v>39</v>
      </c>
      <c r="F198" s="73">
        <v>5.8</v>
      </c>
      <c r="G198" s="73">
        <f t="shared" si="27"/>
        <v>226.2</v>
      </c>
      <c r="H198" s="73">
        <f t="shared" si="24"/>
        <v>18.849999999999998</v>
      </c>
      <c r="I198" s="72">
        <v>19</v>
      </c>
      <c r="J198" s="72"/>
      <c r="K198" s="72"/>
      <c r="L198" s="32">
        <f t="shared" si="25"/>
        <v>19</v>
      </c>
      <c r="M198" s="74"/>
      <c r="N198" s="74"/>
      <c r="O198" s="74"/>
      <c r="P198" s="74"/>
      <c r="Q198" s="74"/>
    </row>
    <row r="199" spans="1:25" s="71" customFormat="1" ht="13.5" thickBot="1">
      <c r="A199" s="71">
        <v>409</v>
      </c>
      <c r="B199" s="72">
        <v>8</v>
      </c>
      <c r="C199" s="72">
        <v>1</v>
      </c>
      <c r="D199" s="73">
        <v>1</v>
      </c>
      <c r="E199" s="73">
        <v>31</v>
      </c>
      <c r="F199" s="73">
        <v>6.8</v>
      </c>
      <c r="G199" s="73">
        <f t="shared" si="27"/>
        <v>210.79999999999998</v>
      </c>
      <c r="H199" s="73">
        <f t="shared" si="24"/>
        <v>17.566666666666666</v>
      </c>
      <c r="I199" s="72">
        <v>18</v>
      </c>
      <c r="J199" s="72"/>
      <c r="K199" s="72"/>
      <c r="L199" s="32">
        <f t="shared" si="25"/>
        <v>18</v>
      </c>
      <c r="M199" s="74"/>
      <c r="N199" s="74"/>
      <c r="O199" s="74"/>
      <c r="P199" s="74"/>
      <c r="Q199" s="74"/>
    </row>
    <row r="200" spans="1:25" s="71" customFormat="1" ht="13.5" thickBot="1">
      <c r="A200" s="71">
        <v>409</v>
      </c>
      <c r="B200" s="72">
        <v>8</v>
      </c>
      <c r="C200" s="72">
        <v>1</v>
      </c>
      <c r="D200" s="73">
        <v>1</v>
      </c>
      <c r="E200" s="73">
        <v>11</v>
      </c>
      <c r="F200" s="73">
        <v>3.05</v>
      </c>
      <c r="G200" s="73">
        <f t="shared" si="27"/>
        <v>33.549999999999997</v>
      </c>
      <c r="H200" s="73">
        <f t="shared" si="24"/>
        <v>2.7958333333333329</v>
      </c>
      <c r="I200" s="72">
        <v>3</v>
      </c>
      <c r="J200" s="72"/>
      <c r="K200" s="72"/>
      <c r="L200" s="32">
        <f t="shared" si="25"/>
        <v>3</v>
      </c>
      <c r="M200" s="74"/>
      <c r="N200" s="74"/>
      <c r="O200" s="74"/>
      <c r="P200" s="74"/>
      <c r="Q200" s="74"/>
    </row>
    <row r="201" spans="1:25" s="71" customFormat="1" ht="13.5" thickBot="1">
      <c r="A201" s="79" t="s">
        <v>106</v>
      </c>
      <c r="B201" s="80">
        <v>8</v>
      </c>
      <c r="C201" s="80">
        <v>3</v>
      </c>
      <c r="D201" s="81">
        <v>1</v>
      </c>
      <c r="E201" s="81">
        <f>34*3</f>
        <v>102</v>
      </c>
      <c r="F201" s="81">
        <v>3.47</v>
      </c>
      <c r="G201" s="81">
        <f t="shared" si="27"/>
        <v>353.94</v>
      </c>
      <c r="H201" s="81">
        <f t="shared" si="24"/>
        <v>29.495000000000001</v>
      </c>
      <c r="I201" s="80">
        <v>30</v>
      </c>
      <c r="J201" s="80"/>
      <c r="K201" s="80"/>
      <c r="L201" s="32">
        <f t="shared" si="25"/>
        <v>30</v>
      </c>
      <c r="M201" s="74"/>
      <c r="N201" s="74"/>
      <c r="O201" s="74"/>
      <c r="P201" s="74"/>
      <c r="Q201" s="74"/>
    </row>
    <row r="202" spans="1:25" s="71" customFormat="1" ht="13.5" thickBot="1">
      <c r="A202" s="79" t="s">
        <v>106</v>
      </c>
      <c r="B202" s="80">
        <v>8</v>
      </c>
      <c r="C202" s="80">
        <v>3</v>
      </c>
      <c r="D202" s="81">
        <v>1</v>
      </c>
      <c r="E202" s="81">
        <f>15*3</f>
        <v>45</v>
      </c>
      <c r="F202" s="81">
        <v>4.54</v>
      </c>
      <c r="G202" s="81">
        <f t="shared" si="27"/>
        <v>204.3</v>
      </c>
      <c r="H202" s="81">
        <f t="shared" si="24"/>
        <v>17.025000000000002</v>
      </c>
      <c r="I202" s="80">
        <v>17</v>
      </c>
      <c r="J202" s="80"/>
      <c r="K202" s="80"/>
      <c r="L202" s="32">
        <f t="shared" si="25"/>
        <v>17</v>
      </c>
      <c r="M202" s="74"/>
      <c r="N202" s="74"/>
      <c r="O202" s="74"/>
      <c r="P202" s="74"/>
      <c r="Q202" s="74"/>
    </row>
    <row r="203" spans="1:25" s="71" customFormat="1" ht="13.5" thickBot="1">
      <c r="A203" s="79" t="s">
        <v>106</v>
      </c>
      <c r="B203" s="80">
        <v>8</v>
      </c>
      <c r="C203" s="80">
        <v>3</v>
      </c>
      <c r="D203" s="81">
        <v>1</v>
      </c>
      <c r="E203" s="81">
        <f>28*3</f>
        <v>84</v>
      </c>
      <c r="F203" s="81">
        <v>3.47</v>
      </c>
      <c r="G203" s="81">
        <f t="shared" si="27"/>
        <v>291.48</v>
      </c>
      <c r="H203" s="81">
        <f t="shared" si="24"/>
        <v>24.290000000000003</v>
      </c>
      <c r="I203" s="79">
        <v>25</v>
      </c>
      <c r="J203" s="79"/>
      <c r="K203" s="79"/>
      <c r="L203" s="32">
        <f t="shared" si="25"/>
        <v>25</v>
      </c>
      <c r="M203" s="74"/>
      <c r="N203" s="74"/>
      <c r="O203" s="74"/>
      <c r="P203" s="74"/>
      <c r="Q203" s="74"/>
    </row>
    <row r="204" spans="1:25" s="71" customFormat="1">
      <c r="A204" s="79" t="s">
        <v>106</v>
      </c>
      <c r="B204" s="80">
        <v>8</v>
      </c>
      <c r="C204" s="80">
        <v>3</v>
      </c>
      <c r="D204" s="81">
        <v>1</v>
      </c>
      <c r="E204" s="81">
        <f>15*3</f>
        <v>45</v>
      </c>
      <c r="F204" s="81">
        <v>3.47</v>
      </c>
      <c r="G204" s="81">
        <f t="shared" si="27"/>
        <v>156.15</v>
      </c>
      <c r="H204" s="81">
        <f t="shared" si="24"/>
        <v>13.012500000000001</v>
      </c>
      <c r="I204" s="79">
        <v>13</v>
      </c>
      <c r="J204" s="79"/>
      <c r="K204" s="79"/>
      <c r="L204" s="32">
        <f t="shared" si="25"/>
        <v>13</v>
      </c>
      <c r="M204" s="74"/>
      <c r="N204" s="74"/>
      <c r="O204" s="74"/>
      <c r="P204" s="74"/>
      <c r="Q204" s="74"/>
    </row>
    <row r="205" spans="1:25" ht="13.5" thickBot="1">
      <c r="A205" s="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56"/>
      <c r="N205" s="12"/>
      <c r="O205" s="12"/>
      <c r="P205" s="12"/>
      <c r="Q205" s="13"/>
    </row>
    <row r="206" spans="1:25" ht="18.75" thickBot="1">
      <c r="A206" s="2"/>
      <c r="B206" s="22">
        <v>8</v>
      </c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1">
        <f>M149-L150-L151-L152</f>
        <v>-1</v>
      </c>
      <c r="N206" s="12"/>
      <c r="O206" s="12"/>
      <c r="P206" s="12"/>
      <c r="Q206" s="13"/>
    </row>
    <row r="207" spans="1:25" s="2" customFormat="1" ht="13.5" thickBot="1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3"/>
      <c r="N207" s="12"/>
      <c r="O207" s="12"/>
      <c r="P207" s="12"/>
      <c r="Q207" s="13"/>
      <c r="R207" s="12"/>
      <c r="S207" s="12"/>
      <c r="T207" s="12"/>
      <c r="U207" s="12"/>
      <c r="V207" s="1"/>
      <c r="W207" s="1"/>
      <c r="X207" s="1"/>
      <c r="Y207" s="1"/>
    </row>
    <row r="208" spans="1:25" ht="13.5" thickBot="1">
      <c r="A208" s="2" t="s">
        <v>107</v>
      </c>
      <c r="B208" s="29">
        <v>10</v>
      </c>
      <c r="C208" s="30">
        <v>1</v>
      </c>
      <c r="D208" s="30">
        <v>2</v>
      </c>
      <c r="E208" s="30">
        <f t="shared" ref="E208:E214" si="28">D208*C208</f>
        <v>2</v>
      </c>
      <c r="F208" s="31">
        <f>0.15+0.55+0.45+0.6+0.6</f>
        <v>2.35</v>
      </c>
      <c r="G208" s="30">
        <f t="shared" ref="G208:G214" si="29">+F208*E208</f>
        <v>4.7</v>
      </c>
      <c r="H208" s="30">
        <f t="shared" ref="H208:H245" si="30">+G208/$G$2</f>
        <v>0.39166666666666666</v>
      </c>
      <c r="I208" s="30">
        <v>1</v>
      </c>
      <c r="J208" s="30"/>
      <c r="K208" s="30"/>
      <c r="L208" s="32">
        <f>I208</f>
        <v>1</v>
      </c>
      <c r="M208" s="20">
        <f>SUM(L208:L246)</f>
        <v>57</v>
      </c>
      <c r="N208" s="53">
        <v>1.4</v>
      </c>
      <c r="O208" s="53">
        <v>13</v>
      </c>
      <c r="P208" s="53">
        <f>O208*N208</f>
        <v>18.2</v>
      </c>
      <c r="Q208" s="13"/>
    </row>
    <row r="209" spans="1:25" s="2" customFormat="1" ht="13.5" thickBot="1">
      <c r="A209" s="2" t="s">
        <v>107</v>
      </c>
      <c r="B209" s="29">
        <v>10</v>
      </c>
      <c r="C209" s="30">
        <v>1</v>
      </c>
      <c r="D209" s="30">
        <v>2</v>
      </c>
      <c r="E209" s="30">
        <f t="shared" si="28"/>
        <v>2</v>
      </c>
      <c r="F209" s="31">
        <f>0.2+4.1+0.2</f>
        <v>4.5</v>
      </c>
      <c r="G209" s="30">
        <f t="shared" si="29"/>
        <v>9</v>
      </c>
      <c r="H209" s="30">
        <f t="shared" si="30"/>
        <v>0.75</v>
      </c>
      <c r="I209" s="30">
        <v>1</v>
      </c>
      <c r="J209" s="30"/>
      <c r="K209" s="30"/>
      <c r="L209" s="32">
        <f t="shared" ref="L209:L245" si="31">I209</f>
        <v>1</v>
      </c>
      <c r="M209" s="13"/>
      <c r="N209" s="13"/>
      <c r="O209" s="13"/>
      <c r="P209" s="13"/>
      <c r="Q209" s="13"/>
      <c r="R209" s="12"/>
      <c r="S209" s="12"/>
      <c r="T209" s="12"/>
      <c r="U209" s="12"/>
      <c r="V209" s="1"/>
      <c r="W209" s="1"/>
      <c r="X209" s="1"/>
      <c r="Y209" s="1"/>
    </row>
    <row r="210" spans="1:25" s="2" customFormat="1" ht="13.5" thickBot="1">
      <c r="A210" s="2" t="s">
        <v>108</v>
      </c>
      <c r="B210" s="29">
        <v>10</v>
      </c>
      <c r="C210" s="30">
        <v>1</v>
      </c>
      <c r="D210" s="30">
        <v>2</v>
      </c>
      <c r="E210" s="30">
        <f t="shared" si="28"/>
        <v>2</v>
      </c>
      <c r="F210" s="31">
        <f>0.2+4.1+0.2</f>
        <v>4.5</v>
      </c>
      <c r="G210" s="30">
        <f t="shared" si="29"/>
        <v>9</v>
      </c>
      <c r="H210" s="30">
        <f t="shared" si="30"/>
        <v>0.75</v>
      </c>
      <c r="I210" s="30">
        <v>1</v>
      </c>
      <c r="J210" s="30"/>
      <c r="K210" s="30"/>
      <c r="L210" s="32">
        <f t="shared" si="31"/>
        <v>1</v>
      </c>
      <c r="M210" s="13"/>
      <c r="N210" s="13"/>
      <c r="O210" s="13"/>
      <c r="P210" s="13"/>
      <c r="Q210" s="13"/>
      <c r="R210" s="12"/>
      <c r="S210" s="12"/>
      <c r="T210" s="12"/>
      <c r="U210" s="12"/>
      <c r="V210" s="1"/>
      <c r="W210" s="1"/>
      <c r="X210" s="1"/>
      <c r="Y210" s="1"/>
    </row>
    <row r="211" spans="1:25" s="2" customFormat="1" ht="13.5" thickBot="1">
      <c r="A211" s="2" t="s">
        <v>109</v>
      </c>
      <c r="B211" s="29">
        <v>10</v>
      </c>
      <c r="C211" s="30">
        <v>2</v>
      </c>
      <c r="D211" s="30">
        <v>1</v>
      </c>
      <c r="E211" s="30">
        <f t="shared" si="28"/>
        <v>2</v>
      </c>
      <c r="F211" s="31">
        <v>3.05</v>
      </c>
      <c r="G211" s="30">
        <f t="shared" si="29"/>
        <v>6.1</v>
      </c>
      <c r="H211" s="30">
        <f t="shared" si="30"/>
        <v>0.5083333333333333</v>
      </c>
      <c r="I211" s="30">
        <v>0</v>
      </c>
      <c r="J211" s="30"/>
      <c r="K211" s="30"/>
      <c r="L211" s="32">
        <f t="shared" si="31"/>
        <v>0</v>
      </c>
      <c r="M211" s="13"/>
      <c r="N211" s="13"/>
      <c r="O211" s="13"/>
      <c r="P211" s="13"/>
      <c r="Q211" s="13"/>
      <c r="R211" s="12"/>
      <c r="S211" s="12"/>
      <c r="T211" s="12"/>
      <c r="U211" s="12"/>
      <c r="V211" s="1"/>
      <c r="W211" s="1"/>
      <c r="X211" s="1"/>
      <c r="Y211" s="1"/>
    </row>
    <row r="212" spans="1:25" s="2" customFormat="1" ht="13.5" thickBot="1">
      <c r="A212" s="2" t="s">
        <v>110</v>
      </c>
      <c r="B212" s="29">
        <v>10</v>
      </c>
      <c r="C212" s="30">
        <v>2</v>
      </c>
      <c r="D212" s="30">
        <v>1</v>
      </c>
      <c r="E212" s="30">
        <f t="shared" si="28"/>
        <v>2</v>
      </c>
      <c r="F212" s="31">
        <v>2.5</v>
      </c>
      <c r="G212" s="30">
        <f t="shared" si="29"/>
        <v>5</v>
      </c>
      <c r="H212" s="30">
        <f t="shared" si="30"/>
        <v>0.41666666666666669</v>
      </c>
      <c r="I212" s="30">
        <v>1</v>
      </c>
      <c r="J212" s="30"/>
      <c r="K212" s="30"/>
      <c r="L212" s="32">
        <f t="shared" si="31"/>
        <v>1</v>
      </c>
      <c r="M212" s="13"/>
      <c r="N212" s="13"/>
      <c r="O212" s="13"/>
      <c r="P212" s="13"/>
      <c r="Q212" s="13"/>
      <c r="R212" s="12"/>
      <c r="S212" s="12"/>
      <c r="T212" s="12"/>
      <c r="U212" s="12"/>
      <c r="V212" s="1"/>
      <c r="W212" s="1"/>
      <c r="X212" s="1"/>
      <c r="Y212" s="1"/>
    </row>
    <row r="213" spans="1:25" s="2" customFormat="1" ht="13.5" thickBot="1">
      <c r="A213" s="2" t="s">
        <v>112</v>
      </c>
      <c r="B213" s="29">
        <v>10</v>
      </c>
      <c r="C213" s="30">
        <v>2</v>
      </c>
      <c r="D213" s="30">
        <v>1</v>
      </c>
      <c r="E213" s="30">
        <f t="shared" si="28"/>
        <v>2</v>
      </c>
      <c r="F213" s="31">
        <v>7.25</v>
      </c>
      <c r="G213" s="30">
        <f t="shared" si="29"/>
        <v>14.5</v>
      </c>
      <c r="H213" s="30">
        <f t="shared" si="30"/>
        <v>1.2083333333333333</v>
      </c>
      <c r="I213" s="30">
        <v>2</v>
      </c>
      <c r="J213" s="30"/>
      <c r="K213" s="30"/>
      <c r="L213" s="32">
        <f t="shared" si="31"/>
        <v>2</v>
      </c>
      <c r="M213" s="13"/>
      <c r="N213" s="13"/>
      <c r="O213" s="13"/>
      <c r="P213" s="13"/>
      <c r="Q213" s="13"/>
      <c r="R213" s="12"/>
      <c r="S213" s="12"/>
      <c r="T213" s="12"/>
      <c r="U213" s="12"/>
      <c r="V213" s="1"/>
      <c r="W213" s="1"/>
      <c r="X213" s="1"/>
      <c r="Y213" s="1"/>
    </row>
    <row r="214" spans="1:25" s="2" customFormat="1" ht="13.5" thickBot="1">
      <c r="A214" s="2" t="s">
        <v>112</v>
      </c>
      <c r="B214" s="29">
        <v>10</v>
      </c>
      <c r="C214" s="30">
        <v>1</v>
      </c>
      <c r="D214" s="30">
        <v>1</v>
      </c>
      <c r="E214" s="30">
        <f t="shared" si="28"/>
        <v>1</v>
      </c>
      <c r="F214" s="31">
        <v>4.9000000000000004</v>
      </c>
      <c r="G214" s="30">
        <f t="shared" si="29"/>
        <v>4.9000000000000004</v>
      </c>
      <c r="H214" s="30">
        <f t="shared" si="30"/>
        <v>0.40833333333333338</v>
      </c>
      <c r="I214" s="30">
        <v>0</v>
      </c>
      <c r="J214" s="30"/>
      <c r="K214" s="30"/>
      <c r="L214" s="32">
        <f t="shared" si="31"/>
        <v>0</v>
      </c>
      <c r="M214" s="13"/>
      <c r="N214" s="13"/>
      <c r="O214" s="13"/>
      <c r="P214" s="13"/>
      <c r="Q214" s="13"/>
      <c r="R214" s="12"/>
      <c r="S214" s="12"/>
      <c r="T214" s="12"/>
      <c r="U214" s="12"/>
      <c r="V214" s="1"/>
      <c r="W214" s="1"/>
      <c r="X214" s="1"/>
      <c r="Y214" s="1"/>
    </row>
    <row r="215" spans="1:25" s="2" customFormat="1" ht="13.5" thickBot="1">
      <c r="A215" s="2" t="s">
        <v>60</v>
      </c>
      <c r="B215" s="29">
        <v>10</v>
      </c>
      <c r="C215" s="30">
        <v>2</v>
      </c>
      <c r="D215" s="30">
        <v>1</v>
      </c>
      <c r="E215" s="30">
        <f>D215*C215</f>
        <v>2</v>
      </c>
      <c r="F215" s="31">
        <v>3.6</v>
      </c>
      <c r="G215" s="30">
        <f t="shared" ref="G215:G245" si="32">+F215*E215</f>
        <v>7.2</v>
      </c>
      <c r="H215" s="30">
        <f t="shared" si="30"/>
        <v>0.6</v>
      </c>
      <c r="I215" s="30">
        <v>1</v>
      </c>
      <c r="J215" s="30"/>
      <c r="K215" s="30"/>
      <c r="L215" s="32">
        <f t="shared" si="31"/>
        <v>1</v>
      </c>
      <c r="M215" s="13"/>
      <c r="N215" s="13"/>
      <c r="O215" s="13"/>
      <c r="P215" s="13"/>
      <c r="Q215" s="13"/>
      <c r="R215" s="12"/>
      <c r="S215" s="12"/>
      <c r="T215" s="12"/>
      <c r="U215" s="12"/>
      <c r="V215" s="1"/>
      <c r="W215" s="1"/>
      <c r="X215" s="1"/>
      <c r="Y215" s="1"/>
    </row>
    <row r="216" spans="1:25" s="2" customFormat="1" ht="13.5" thickBot="1">
      <c r="A216" s="2" t="s">
        <v>61</v>
      </c>
      <c r="B216" s="29">
        <v>10</v>
      </c>
      <c r="C216" s="30">
        <v>1</v>
      </c>
      <c r="D216" s="30">
        <v>1</v>
      </c>
      <c r="E216" s="30">
        <f>D216*C216</f>
        <v>1</v>
      </c>
      <c r="F216" s="31">
        <v>6</v>
      </c>
      <c r="G216" s="30">
        <f t="shared" si="32"/>
        <v>6</v>
      </c>
      <c r="H216" s="30">
        <f t="shared" si="30"/>
        <v>0.5</v>
      </c>
      <c r="I216" s="30">
        <v>1</v>
      </c>
      <c r="J216" s="30"/>
      <c r="K216" s="30"/>
      <c r="L216" s="32">
        <f t="shared" si="31"/>
        <v>1</v>
      </c>
      <c r="M216" s="13"/>
      <c r="N216" s="13"/>
      <c r="O216" s="13"/>
      <c r="P216" s="13"/>
      <c r="Q216" s="13"/>
      <c r="R216" s="12"/>
      <c r="S216" s="12"/>
      <c r="T216" s="12"/>
      <c r="U216" s="12"/>
      <c r="V216" s="1"/>
      <c r="W216" s="1"/>
      <c r="X216" s="1"/>
      <c r="Y216" s="1"/>
    </row>
    <row r="217" spans="1:25" s="2" customFormat="1" ht="13.5" thickBot="1">
      <c r="A217" s="2" t="s">
        <v>63</v>
      </c>
      <c r="B217" s="29">
        <v>10</v>
      </c>
      <c r="C217" s="30">
        <v>13</v>
      </c>
      <c r="D217" s="30">
        <v>1</v>
      </c>
      <c r="E217" s="30">
        <f>D217*C217</f>
        <v>13</v>
      </c>
      <c r="F217" s="30">
        <v>1.67</v>
      </c>
      <c r="G217" s="30">
        <f t="shared" si="32"/>
        <v>21.71</v>
      </c>
      <c r="H217" s="30">
        <f t="shared" si="30"/>
        <v>1.8091666666666668</v>
      </c>
      <c r="I217" s="30">
        <v>2</v>
      </c>
      <c r="J217" s="30"/>
      <c r="K217" s="30"/>
      <c r="L217" s="32">
        <f t="shared" si="31"/>
        <v>2</v>
      </c>
      <c r="M217" s="13"/>
      <c r="N217" s="13"/>
      <c r="O217" s="13"/>
      <c r="P217" s="13"/>
      <c r="Q217" s="13"/>
      <c r="R217" s="12"/>
      <c r="S217" s="12"/>
      <c r="T217" s="12"/>
      <c r="U217" s="12"/>
      <c r="V217" s="1"/>
      <c r="W217" s="1"/>
      <c r="X217" s="1"/>
      <c r="Y217" s="1"/>
    </row>
    <row r="218" spans="1:25" s="2" customFormat="1" ht="13.5" thickBot="1">
      <c r="A218" s="62" t="s">
        <v>68</v>
      </c>
      <c r="B218" s="63">
        <v>10</v>
      </c>
      <c r="C218" s="63">
        <v>2</v>
      </c>
      <c r="D218" s="64">
        <v>2</v>
      </c>
      <c r="E218" s="64">
        <v>2</v>
      </c>
      <c r="F218" s="31">
        <v>2.35</v>
      </c>
      <c r="G218" s="64">
        <f t="shared" si="32"/>
        <v>4.7</v>
      </c>
      <c r="H218" s="64">
        <f t="shared" si="30"/>
        <v>0.39166666666666666</v>
      </c>
      <c r="I218" s="30">
        <v>0</v>
      </c>
      <c r="J218" s="30"/>
      <c r="K218" s="30"/>
      <c r="L218" s="32">
        <f t="shared" si="31"/>
        <v>0</v>
      </c>
      <c r="M218" s="13"/>
      <c r="N218" s="13"/>
      <c r="O218" s="13"/>
      <c r="P218" s="13"/>
      <c r="Q218" s="13"/>
      <c r="R218" s="12"/>
      <c r="S218" s="12"/>
      <c r="T218" s="12"/>
      <c r="U218" s="12"/>
      <c r="V218" s="1"/>
      <c r="W218" s="1"/>
      <c r="X218" s="1"/>
      <c r="Y218" s="1"/>
    </row>
    <row r="219" spans="1:25" s="2" customFormat="1" ht="13.5" thickBot="1">
      <c r="A219" s="62" t="s">
        <v>68</v>
      </c>
      <c r="B219" s="63">
        <v>10</v>
      </c>
      <c r="C219" s="63">
        <v>2</v>
      </c>
      <c r="D219" s="64">
        <v>2</v>
      </c>
      <c r="E219" s="64">
        <v>2</v>
      </c>
      <c r="F219" s="31">
        <v>4.45</v>
      </c>
      <c r="G219" s="64">
        <f t="shared" si="32"/>
        <v>8.9</v>
      </c>
      <c r="H219" s="64">
        <f t="shared" si="30"/>
        <v>0.7416666666666667</v>
      </c>
      <c r="I219" s="30">
        <v>1</v>
      </c>
      <c r="J219" s="30"/>
      <c r="K219" s="30"/>
      <c r="L219" s="32">
        <f t="shared" si="31"/>
        <v>1</v>
      </c>
      <c r="M219" s="13"/>
      <c r="N219" s="13"/>
      <c r="O219" s="13"/>
      <c r="P219" s="13"/>
      <c r="Q219" s="13"/>
      <c r="R219" s="12"/>
      <c r="S219" s="12"/>
      <c r="T219" s="12"/>
      <c r="U219" s="12"/>
      <c r="V219" s="1"/>
      <c r="W219" s="1"/>
      <c r="X219" s="1"/>
      <c r="Y219" s="1"/>
    </row>
    <row r="220" spans="1:25" s="2" customFormat="1" ht="13.5" thickBot="1">
      <c r="A220" s="62" t="s">
        <v>70</v>
      </c>
      <c r="B220" s="63">
        <v>10</v>
      </c>
      <c r="C220" s="63">
        <v>2</v>
      </c>
      <c r="D220" s="64">
        <v>2</v>
      </c>
      <c r="E220" s="64">
        <v>2</v>
      </c>
      <c r="F220" s="31">
        <v>3.05</v>
      </c>
      <c r="G220" s="64">
        <f t="shared" si="32"/>
        <v>6.1</v>
      </c>
      <c r="H220" s="64">
        <f t="shared" si="30"/>
        <v>0.5083333333333333</v>
      </c>
      <c r="I220" s="30">
        <v>0</v>
      </c>
      <c r="J220" s="30"/>
      <c r="K220" s="30"/>
      <c r="L220" s="32">
        <f t="shared" si="31"/>
        <v>0</v>
      </c>
      <c r="M220" s="13"/>
      <c r="N220" s="13"/>
      <c r="O220" s="13"/>
      <c r="P220" s="13"/>
      <c r="Q220" s="13"/>
      <c r="R220" s="12"/>
      <c r="S220" s="12"/>
      <c r="T220" s="12"/>
      <c r="U220" s="12"/>
      <c r="V220" s="1"/>
      <c r="W220" s="1"/>
      <c r="X220" s="1"/>
      <c r="Y220" s="1"/>
    </row>
    <row r="221" spans="1:25" s="2" customFormat="1" ht="13.5" thickBot="1">
      <c r="A221" s="62" t="s">
        <v>70</v>
      </c>
      <c r="B221" s="63">
        <v>10</v>
      </c>
      <c r="C221" s="63">
        <v>2</v>
      </c>
      <c r="D221" s="64">
        <v>2</v>
      </c>
      <c r="E221" s="64">
        <v>2</v>
      </c>
      <c r="F221" s="31">
        <v>3.05</v>
      </c>
      <c r="G221" s="64">
        <f t="shared" si="32"/>
        <v>6.1</v>
      </c>
      <c r="H221" s="64">
        <f t="shared" si="30"/>
        <v>0.5083333333333333</v>
      </c>
      <c r="I221" s="30">
        <v>1</v>
      </c>
      <c r="J221" s="30"/>
      <c r="K221" s="30"/>
      <c r="L221" s="32">
        <f t="shared" si="31"/>
        <v>1</v>
      </c>
      <c r="M221" s="13"/>
      <c r="N221" s="13"/>
      <c r="O221" s="13"/>
      <c r="P221" s="13"/>
      <c r="Q221" s="13"/>
      <c r="R221" s="12"/>
      <c r="S221" s="12"/>
      <c r="T221" s="12"/>
      <c r="U221" s="12"/>
      <c r="V221" s="1"/>
      <c r="W221" s="1"/>
      <c r="X221" s="1"/>
      <c r="Y221" s="1"/>
    </row>
    <row r="222" spans="1:25" s="2" customFormat="1" ht="13.5" thickBot="1">
      <c r="A222" s="62" t="s">
        <v>71</v>
      </c>
      <c r="B222" s="63">
        <v>10</v>
      </c>
      <c r="C222" s="63">
        <v>2</v>
      </c>
      <c r="D222" s="64">
        <v>2</v>
      </c>
      <c r="E222" s="64">
        <v>2</v>
      </c>
      <c r="F222" s="31">
        <v>3.6</v>
      </c>
      <c r="G222" s="64">
        <f t="shared" si="32"/>
        <v>7.2</v>
      </c>
      <c r="H222" s="64">
        <f t="shared" si="30"/>
        <v>0.6</v>
      </c>
      <c r="I222" s="30">
        <v>1</v>
      </c>
      <c r="J222" s="30"/>
      <c r="K222" s="30"/>
      <c r="L222" s="32">
        <f t="shared" si="31"/>
        <v>1</v>
      </c>
      <c r="M222" s="13"/>
      <c r="N222" s="13"/>
      <c r="O222" s="13"/>
      <c r="P222" s="13"/>
      <c r="Q222" s="13"/>
      <c r="R222" s="12"/>
      <c r="S222" s="12"/>
      <c r="T222" s="12"/>
      <c r="U222" s="12"/>
      <c r="V222" s="1"/>
      <c r="W222" s="1"/>
      <c r="X222" s="1"/>
      <c r="Y222" s="1"/>
    </row>
    <row r="223" spans="1:25" s="2" customFormat="1" ht="13.5" thickBot="1">
      <c r="A223" s="62" t="s">
        <v>71</v>
      </c>
      <c r="B223" s="63">
        <v>10</v>
      </c>
      <c r="C223" s="63">
        <v>2</v>
      </c>
      <c r="D223" s="64">
        <v>2</v>
      </c>
      <c r="E223" s="64">
        <v>2</v>
      </c>
      <c r="F223" s="31">
        <v>4.3</v>
      </c>
      <c r="G223" s="64">
        <f t="shared" si="32"/>
        <v>8.6</v>
      </c>
      <c r="H223" s="64">
        <f t="shared" si="30"/>
        <v>0.71666666666666667</v>
      </c>
      <c r="I223" s="30">
        <v>1</v>
      </c>
      <c r="J223" s="30"/>
      <c r="K223" s="30"/>
      <c r="L223" s="32">
        <f t="shared" si="31"/>
        <v>1</v>
      </c>
      <c r="M223" s="13"/>
      <c r="N223" s="13"/>
      <c r="O223" s="13"/>
      <c r="P223" s="13"/>
      <c r="Q223" s="13"/>
      <c r="R223" s="12"/>
      <c r="S223" s="12"/>
      <c r="T223" s="12"/>
      <c r="U223" s="12"/>
      <c r="V223" s="1"/>
      <c r="W223" s="1"/>
      <c r="X223" s="1"/>
      <c r="Y223" s="1"/>
    </row>
    <row r="224" spans="1:25" s="2" customFormat="1" ht="13.5" thickBot="1">
      <c r="A224" s="62" t="s">
        <v>75</v>
      </c>
      <c r="B224" s="63">
        <v>10</v>
      </c>
      <c r="C224" s="63">
        <v>2</v>
      </c>
      <c r="D224" s="64">
        <v>2</v>
      </c>
      <c r="E224" s="64">
        <v>2</v>
      </c>
      <c r="F224" s="31">
        <v>7.25</v>
      </c>
      <c r="G224" s="64">
        <f t="shared" si="32"/>
        <v>14.5</v>
      </c>
      <c r="H224" s="64">
        <f t="shared" si="30"/>
        <v>1.2083333333333333</v>
      </c>
      <c r="I224" s="30">
        <v>1</v>
      </c>
      <c r="J224" s="30"/>
      <c r="K224" s="30"/>
      <c r="L224" s="32">
        <f t="shared" si="31"/>
        <v>1</v>
      </c>
      <c r="M224" s="13"/>
      <c r="N224" s="13"/>
      <c r="O224" s="13"/>
      <c r="P224" s="13"/>
      <c r="Q224" s="13"/>
      <c r="R224" s="12"/>
      <c r="S224" s="12"/>
      <c r="T224" s="12"/>
      <c r="U224" s="12"/>
      <c r="V224" s="1"/>
      <c r="W224" s="1"/>
      <c r="X224" s="1"/>
      <c r="Y224" s="1"/>
    </row>
    <row r="225" spans="1:25" s="2" customFormat="1" ht="13.5" thickBot="1">
      <c r="A225" s="62" t="s">
        <v>77</v>
      </c>
      <c r="B225" s="63">
        <v>10</v>
      </c>
      <c r="C225" s="63">
        <v>2</v>
      </c>
      <c r="D225" s="64">
        <v>2</v>
      </c>
      <c r="E225" s="64">
        <v>2</v>
      </c>
      <c r="F225" s="31">
        <v>1.1000000000000001</v>
      </c>
      <c r="G225" s="64">
        <f t="shared" si="32"/>
        <v>2.2000000000000002</v>
      </c>
      <c r="H225" s="64">
        <f t="shared" si="30"/>
        <v>0.18333333333333335</v>
      </c>
      <c r="I225" s="30">
        <v>0</v>
      </c>
      <c r="J225" s="30"/>
      <c r="K225" s="30"/>
      <c r="L225" s="32">
        <f t="shared" si="31"/>
        <v>0</v>
      </c>
      <c r="M225" s="13"/>
      <c r="N225" s="13"/>
      <c r="O225" s="13"/>
      <c r="P225" s="13"/>
      <c r="Q225" s="13"/>
      <c r="R225" s="12"/>
      <c r="S225" s="12"/>
      <c r="T225" s="12"/>
      <c r="U225" s="12"/>
      <c r="V225" s="1"/>
      <c r="W225" s="1"/>
      <c r="X225" s="1"/>
      <c r="Y225" s="1"/>
    </row>
    <row r="226" spans="1:25" s="2" customFormat="1" ht="13.5" thickBot="1">
      <c r="A226" s="62" t="s">
        <v>117</v>
      </c>
      <c r="B226" s="63">
        <v>10</v>
      </c>
      <c r="C226" s="63">
        <v>2</v>
      </c>
      <c r="D226" s="64">
        <v>2</v>
      </c>
      <c r="E226" s="64">
        <v>2</v>
      </c>
      <c r="F226" s="31">
        <v>3.3</v>
      </c>
      <c r="G226" s="64">
        <f t="shared" si="32"/>
        <v>6.6</v>
      </c>
      <c r="H226" s="64">
        <f t="shared" si="30"/>
        <v>0.54999999999999993</v>
      </c>
      <c r="I226" s="30">
        <v>1</v>
      </c>
      <c r="J226" s="30"/>
      <c r="K226" s="30"/>
      <c r="L226" s="32">
        <f t="shared" si="31"/>
        <v>1</v>
      </c>
      <c r="M226" s="13"/>
      <c r="N226" s="13"/>
      <c r="O226" s="13"/>
      <c r="P226" s="13"/>
      <c r="Q226" s="13"/>
      <c r="R226" s="12"/>
      <c r="S226" s="12"/>
      <c r="T226" s="12"/>
      <c r="U226" s="12"/>
      <c r="V226" s="1"/>
      <c r="W226" s="1"/>
      <c r="X226" s="1"/>
      <c r="Y226" s="1"/>
    </row>
    <row r="227" spans="1:25" s="2" customFormat="1" ht="13.5" thickBot="1">
      <c r="A227" s="62" t="s">
        <v>79</v>
      </c>
      <c r="B227" s="63">
        <v>10</v>
      </c>
      <c r="C227" s="63">
        <v>2</v>
      </c>
      <c r="D227" s="64">
        <v>2</v>
      </c>
      <c r="E227" s="64">
        <v>2</v>
      </c>
      <c r="F227" s="31">
        <v>4.9000000000000004</v>
      </c>
      <c r="G227" s="64">
        <f t="shared" si="32"/>
        <v>9.8000000000000007</v>
      </c>
      <c r="H227" s="64">
        <f t="shared" si="30"/>
        <v>0.81666666666666676</v>
      </c>
      <c r="I227" s="30">
        <v>1</v>
      </c>
      <c r="J227" s="30"/>
      <c r="K227" s="30"/>
      <c r="L227" s="32">
        <f t="shared" si="31"/>
        <v>1</v>
      </c>
      <c r="M227" s="13"/>
      <c r="N227" s="13"/>
      <c r="O227" s="13"/>
      <c r="P227" s="13"/>
      <c r="Q227" s="13"/>
      <c r="R227" s="12"/>
      <c r="S227" s="12"/>
      <c r="T227" s="12"/>
      <c r="U227" s="12"/>
      <c r="V227" s="1"/>
      <c r="W227" s="1"/>
      <c r="X227" s="1"/>
      <c r="Y227" s="1"/>
    </row>
    <row r="228" spans="1:25" s="24" customFormat="1" ht="13.5" thickBot="1">
      <c r="A228" s="24" t="s">
        <v>83</v>
      </c>
      <c r="B228" s="27">
        <v>10</v>
      </c>
      <c r="C228" s="27">
        <v>2</v>
      </c>
      <c r="D228" s="69">
        <v>1</v>
      </c>
      <c r="E228" s="69">
        <v>2</v>
      </c>
      <c r="F228" s="69">
        <v>4</v>
      </c>
      <c r="G228" s="69">
        <f t="shared" si="32"/>
        <v>8</v>
      </c>
      <c r="H228" s="69">
        <f t="shared" si="30"/>
        <v>0.66666666666666663</v>
      </c>
      <c r="I228" s="30">
        <v>1</v>
      </c>
      <c r="J228" s="30"/>
      <c r="K228" s="30"/>
      <c r="L228" s="32">
        <f t="shared" si="31"/>
        <v>1</v>
      </c>
      <c r="M228" s="68"/>
      <c r="N228" s="68"/>
      <c r="O228" s="68"/>
      <c r="P228" s="68"/>
      <c r="Q228" s="68"/>
    </row>
    <row r="229" spans="1:25" s="24" customFormat="1" ht="13.5" thickBot="1">
      <c r="A229" s="24" t="s">
        <v>84</v>
      </c>
      <c r="B229" s="27">
        <v>10</v>
      </c>
      <c r="C229" s="27">
        <v>2</v>
      </c>
      <c r="D229" s="69">
        <v>1</v>
      </c>
      <c r="E229" s="69">
        <v>2</v>
      </c>
      <c r="F229" s="69">
        <v>4.3</v>
      </c>
      <c r="G229" s="69">
        <f t="shared" si="32"/>
        <v>8.6</v>
      </c>
      <c r="H229" s="69">
        <f t="shared" si="30"/>
        <v>0.71666666666666667</v>
      </c>
      <c r="I229" s="30">
        <v>1</v>
      </c>
      <c r="J229" s="30"/>
      <c r="K229" s="30"/>
      <c r="L229" s="32">
        <f t="shared" si="31"/>
        <v>1</v>
      </c>
      <c r="M229" s="68"/>
      <c r="N229" s="68"/>
      <c r="O229" s="68"/>
      <c r="P229" s="68"/>
      <c r="Q229" s="68"/>
    </row>
    <row r="230" spans="1:25" s="24" customFormat="1" ht="13.5" thickBot="1">
      <c r="A230" s="24" t="s">
        <v>84</v>
      </c>
      <c r="B230" s="27">
        <v>10</v>
      </c>
      <c r="C230" s="27">
        <v>2</v>
      </c>
      <c r="D230" s="69">
        <v>1</v>
      </c>
      <c r="E230" s="69">
        <v>2</v>
      </c>
      <c r="F230" s="69">
        <v>3.7</v>
      </c>
      <c r="G230" s="69">
        <f t="shared" si="32"/>
        <v>7.4</v>
      </c>
      <c r="H230" s="69">
        <f t="shared" si="30"/>
        <v>0.6166666666666667</v>
      </c>
      <c r="I230" s="30">
        <v>1</v>
      </c>
      <c r="J230" s="30"/>
      <c r="K230" s="30"/>
      <c r="L230" s="32">
        <f t="shared" si="31"/>
        <v>1</v>
      </c>
      <c r="M230" s="68"/>
      <c r="N230" s="68"/>
      <c r="O230" s="68"/>
      <c r="P230" s="68"/>
      <c r="Q230" s="68"/>
    </row>
    <row r="231" spans="1:25" s="24" customFormat="1" ht="13.5" thickBot="1">
      <c r="A231" s="24" t="s">
        <v>84</v>
      </c>
      <c r="B231" s="27">
        <v>10</v>
      </c>
      <c r="C231" s="27">
        <v>2</v>
      </c>
      <c r="D231" s="69">
        <v>1</v>
      </c>
      <c r="E231" s="69">
        <v>2</v>
      </c>
      <c r="F231" s="69">
        <v>7.05</v>
      </c>
      <c r="G231" s="69">
        <f t="shared" si="32"/>
        <v>14.1</v>
      </c>
      <c r="H231" s="69">
        <f t="shared" si="30"/>
        <v>1.175</v>
      </c>
      <c r="I231" s="30">
        <v>2</v>
      </c>
      <c r="J231" s="30"/>
      <c r="K231" s="30"/>
      <c r="L231" s="32">
        <f t="shared" si="31"/>
        <v>2</v>
      </c>
      <c r="M231" s="68"/>
      <c r="N231" s="68"/>
      <c r="O231" s="68"/>
      <c r="P231" s="68"/>
      <c r="Q231" s="68"/>
    </row>
    <row r="232" spans="1:25" s="24" customFormat="1" ht="13.5" thickBot="1">
      <c r="A232" s="24" t="s">
        <v>91</v>
      </c>
      <c r="B232" s="27">
        <v>10</v>
      </c>
      <c r="C232" s="27">
        <v>2</v>
      </c>
      <c r="D232" s="69">
        <v>1</v>
      </c>
      <c r="E232" s="69">
        <v>14</v>
      </c>
      <c r="F232" s="69">
        <v>3.77</v>
      </c>
      <c r="G232" s="69">
        <f t="shared" si="32"/>
        <v>52.78</v>
      </c>
      <c r="H232" s="69">
        <f t="shared" si="30"/>
        <v>4.3983333333333334</v>
      </c>
      <c r="I232" s="30">
        <v>4</v>
      </c>
      <c r="J232" s="30"/>
      <c r="K232" s="30"/>
      <c r="L232" s="32">
        <f t="shared" si="31"/>
        <v>4</v>
      </c>
      <c r="M232" s="68"/>
      <c r="N232" s="68"/>
      <c r="O232" s="68"/>
      <c r="P232" s="68"/>
      <c r="Q232" s="68"/>
    </row>
    <row r="233" spans="1:25" s="71" customFormat="1" ht="13.5" thickBot="1">
      <c r="A233" s="71" t="s">
        <v>92</v>
      </c>
      <c r="B233" s="72">
        <v>10</v>
      </c>
      <c r="C233" s="72">
        <v>2</v>
      </c>
      <c r="D233" s="73">
        <v>1</v>
      </c>
      <c r="E233" s="73">
        <v>2</v>
      </c>
      <c r="F233" s="73">
        <v>3</v>
      </c>
      <c r="G233" s="73">
        <f t="shared" si="32"/>
        <v>6</v>
      </c>
      <c r="H233" s="73">
        <f t="shared" si="30"/>
        <v>0.5</v>
      </c>
      <c r="I233" s="30">
        <v>1</v>
      </c>
      <c r="J233" s="30"/>
      <c r="K233" s="30"/>
      <c r="L233" s="32">
        <f t="shared" si="31"/>
        <v>1</v>
      </c>
      <c r="M233" s="74"/>
      <c r="N233" s="74"/>
      <c r="O233" s="74"/>
      <c r="P233" s="74"/>
      <c r="Q233" s="74"/>
    </row>
    <row r="234" spans="1:25" s="71" customFormat="1" ht="13.5" thickBot="1">
      <c r="A234" s="71" t="s">
        <v>92</v>
      </c>
      <c r="B234" s="72">
        <v>10</v>
      </c>
      <c r="C234" s="72">
        <v>2</v>
      </c>
      <c r="D234" s="73">
        <v>1</v>
      </c>
      <c r="E234" s="73">
        <v>2</v>
      </c>
      <c r="F234" s="73">
        <v>4.37</v>
      </c>
      <c r="G234" s="73">
        <f t="shared" si="32"/>
        <v>8.74</v>
      </c>
      <c r="H234" s="73">
        <f t="shared" si="30"/>
        <v>0.72833333333333339</v>
      </c>
      <c r="I234" s="30">
        <v>0</v>
      </c>
      <c r="J234" s="30"/>
      <c r="K234" s="30"/>
      <c r="L234" s="32">
        <f t="shared" si="31"/>
        <v>0</v>
      </c>
      <c r="M234" s="74"/>
      <c r="N234" s="74"/>
      <c r="O234" s="74"/>
      <c r="P234" s="74"/>
      <c r="Q234" s="74"/>
    </row>
    <row r="235" spans="1:25" s="71" customFormat="1" ht="13.5" thickBot="1">
      <c r="A235" s="71" t="s">
        <v>93</v>
      </c>
      <c r="B235" s="72">
        <v>10</v>
      </c>
      <c r="C235" s="72">
        <v>1</v>
      </c>
      <c r="D235" s="73">
        <v>1</v>
      </c>
      <c r="E235" s="73">
        <v>1</v>
      </c>
      <c r="F235" s="73">
        <v>5</v>
      </c>
      <c r="G235" s="73">
        <f t="shared" si="32"/>
        <v>5</v>
      </c>
      <c r="H235" s="73">
        <f t="shared" si="30"/>
        <v>0.41666666666666669</v>
      </c>
      <c r="I235" s="30">
        <v>1</v>
      </c>
      <c r="J235" s="30"/>
      <c r="K235" s="30"/>
      <c r="L235" s="32">
        <f t="shared" si="31"/>
        <v>1</v>
      </c>
      <c r="M235" s="74"/>
      <c r="N235" s="74"/>
      <c r="O235" s="74"/>
      <c r="P235" s="74"/>
      <c r="Q235" s="74"/>
    </row>
    <row r="236" spans="1:25" s="71" customFormat="1" ht="13.5" thickBot="1">
      <c r="A236" s="71" t="s">
        <v>94</v>
      </c>
      <c r="B236" s="72">
        <v>10</v>
      </c>
      <c r="C236" s="72">
        <v>2</v>
      </c>
      <c r="D236" s="73">
        <v>1</v>
      </c>
      <c r="E236" s="73">
        <v>2</v>
      </c>
      <c r="F236" s="73">
        <v>2.42</v>
      </c>
      <c r="G236" s="73">
        <f t="shared" si="32"/>
        <v>4.84</v>
      </c>
      <c r="H236" s="73">
        <f t="shared" si="30"/>
        <v>0.40333333333333332</v>
      </c>
      <c r="I236" s="30">
        <v>0</v>
      </c>
      <c r="J236" s="30"/>
      <c r="K236" s="30"/>
      <c r="L236" s="32">
        <f t="shared" si="31"/>
        <v>0</v>
      </c>
      <c r="M236" s="74"/>
      <c r="N236" s="74"/>
      <c r="O236" s="74"/>
      <c r="P236" s="74"/>
      <c r="Q236" s="74"/>
    </row>
    <row r="237" spans="1:25" s="71" customFormat="1" ht="13.5" thickBot="1">
      <c r="A237" s="71" t="s">
        <v>94</v>
      </c>
      <c r="B237" s="72">
        <v>10</v>
      </c>
      <c r="C237" s="72">
        <v>2</v>
      </c>
      <c r="D237" s="73">
        <v>1</v>
      </c>
      <c r="E237" s="73">
        <v>2</v>
      </c>
      <c r="F237" s="73">
        <v>1.4</v>
      </c>
      <c r="G237" s="73">
        <f t="shared" si="32"/>
        <v>2.8</v>
      </c>
      <c r="H237" s="73">
        <f t="shared" si="30"/>
        <v>0.23333333333333331</v>
      </c>
      <c r="I237" s="30">
        <v>1</v>
      </c>
      <c r="J237" s="30"/>
      <c r="K237" s="30"/>
      <c r="L237" s="32">
        <f t="shared" si="31"/>
        <v>1</v>
      </c>
      <c r="M237" s="74"/>
      <c r="N237" s="74"/>
      <c r="O237" s="74"/>
      <c r="P237" s="74"/>
      <c r="Q237" s="74"/>
    </row>
    <row r="238" spans="1:25" s="71" customFormat="1" ht="13.5" thickBot="1">
      <c r="A238" s="71" t="s">
        <v>95</v>
      </c>
      <c r="B238" s="72">
        <v>10</v>
      </c>
      <c r="C238" s="72">
        <v>1</v>
      </c>
      <c r="D238" s="73">
        <v>1</v>
      </c>
      <c r="E238" s="73">
        <v>2</v>
      </c>
      <c r="F238" s="73">
        <v>2.11</v>
      </c>
      <c r="G238" s="73">
        <f t="shared" si="32"/>
        <v>4.22</v>
      </c>
      <c r="H238" s="73">
        <f t="shared" si="30"/>
        <v>0.35166666666666663</v>
      </c>
      <c r="I238" s="30">
        <v>0</v>
      </c>
      <c r="J238" s="30"/>
      <c r="K238" s="30"/>
      <c r="L238" s="32">
        <f t="shared" si="31"/>
        <v>0</v>
      </c>
      <c r="M238" s="74"/>
      <c r="N238" s="74"/>
      <c r="O238" s="74"/>
      <c r="P238" s="74"/>
      <c r="Q238" s="74"/>
    </row>
    <row r="239" spans="1:25" s="71" customFormat="1" ht="13.5" thickBot="1">
      <c r="A239" s="71" t="s">
        <v>118</v>
      </c>
      <c r="B239" s="72">
        <v>10</v>
      </c>
      <c r="C239" s="72">
        <v>1</v>
      </c>
      <c r="D239" s="73">
        <v>1</v>
      </c>
      <c r="E239" s="73">
        <v>2</v>
      </c>
      <c r="F239" s="73">
        <v>3</v>
      </c>
      <c r="G239" s="73">
        <f t="shared" si="32"/>
        <v>6</v>
      </c>
      <c r="H239" s="73">
        <f t="shared" si="30"/>
        <v>0.5</v>
      </c>
      <c r="I239" s="30">
        <v>0</v>
      </c>
      <c r="J239" s="30"/>
      <c r="K239" s="30"/>
      <c r="L239" s="32">
        <f t="shared" si="31"/>
        <v>0</v>
      </c>
      <c r="M239" s="74"/>
      <c r="N239" s="74"/>
      <c r="O239" s="74"/>
      <c r="P239" s="74"/>
      <c r="Q239" s="74"/>
    </row>
    <row r="240" spans="1:25" s="71" customFormat="1" ht="13.5" thickBot="1">
      <c r="A240" s="71" t="s">
        <v>118</v>
      </c>
      <c r="B240" s="72">
        <v>10</v>
      </c>
      <c r="C240" s="72">
        <v>1</v>
      </c>
      <c r="D240" s="73">
        <v>1</v>
      </c>
      <c r="E240" s="73">
        <v>2</v>
      </c>
      <c r="F240" s="73">
        <v>1.1000000000000001</v>
      </c>
      <c r="G240" s="73">
        <f t="shared" si="32"/>
        <v>2.2000000000000002</v>
      </c>
      <c r="H240" s="73">
        <f t="shared" si="30"/>
        <v>0.18333333333333335</v>
      </c>
      <c r="I240" s="30">
        <v>1</v>
      </c>
      <c r="J240" s="30"/>
      <c r="K240" s="30"/>
      <c r="L240" s="32">
        <f t="shared" si="31"/>
        <v>1</v>
      </c>
      <c r="M240" s="74"/>
      <c r="N240" s="74"/>
      <c r="O240" s="74"/>
      <c r="P240" s="74"/>
      <c r="Q240" s="74"/>
    </row>
    <row r="241" spans="1:17" s="71" customFormat="1" ht="13.5" thickBot="1">
      <c r="A241" s="71" t="s">
        <v>98</v>
      </c>
      <c r="B241" s="72">
        <v>10</v>
      </c>
      <c r="C241" s="72">
        <v>1</v>
      </c>
      <c r="D241" s="73">
        <v>1</v>
      </c>
      <c r="E241" s="73">
        <v>2</v>
      </c>
      <c r="F241" s="73">
        <v>2.4</v>
      </c>
      <c r="G241" s="73">
        <f t="shared" si="32"/>
        <v>4.8</v>
      </c>
      <c r="H241" s="73">
        <f t="shared" si="30"/>
        <v>0.39999999999999997</v>
      </c>
      <c r="I241" s="30">
        <v>0</v>
      </c>
      <c r="J241" s="30"/>
      <c r="K241" s="30"/>
      <c r="L241" s="32">
        <f t="shared" si="31"/>
        <v>0</v>
      </c>
      <c r="M241" s="74"/>
      <c r="N241" s="74"/>
      <c r="O241" s="74"/>
      <c r="P241" s="74"/>
      <c r="Q241" s="74"/>
    </row>
    <row r="242" spans="1:17" s="71" customFormat="1" ht="13.5" thickBot="1">
      <c r="A242" s="71" t="s">
        <v>100</v>
      </c>
      <c r="B242" s="72">
        <v>10</v>
      </c>
      <c r="C242" s="72">
        <v>1</v>
      </c>
      <c r="D242" s="73">
        <v>1</v>
      </c>
      <c r="E242" s="73">
        <v>2</v>
      </c>
      <c r="F242" s="73">
        <v>1</v>
      </c>
      <c r="G242" s="73">
        <f t="shared" si="32"/>
        <v>2</v>
      </c>
      <c r="H242" s="73">
        <f t="shared" si="30"/>
        <v>0.16666666666666666</v>
      </c>
      <c r="I242" s="30">
        <v>0</v>
      </c>
      <c r="J242" s="30"/>
      <c r="K242" s="30"/>
      <c r="L242" s="32">
        <f t="shared" si="31"/>
        <v>0</v>
      </c>
      <c r="M242" s="74"/>
      <c r="N242" s="74"/>
      <c r="O242" s="74"/>
      <c r="P242" s="74"/>
      <c r="Q242" s="74"/>
    </row>
    <row r="243" spans="1:17" s="71" customFormat="1" ht="13.5" thickBot="1">
      <c r="A243" s="71" t="s">
        <v>101</v>
      </c>
      <c r="B243" s="72">
        <v>10</v>
      </c>
      <c r="C243" s="72">
        <v>1</v>
      </c>
      <c r="D243" s="73">
        <v>1</v>
      </c>
      <c r="E243" s="73">
        <v>2</v>
      </c>
      <c r="F243" s="73">
        <v>11.31</v>
      </c>
      <c r="G243" s="73">
        <f t="shared" si="32"/>
        <v>22.62</v>
      </c>
      <c r="H243" s="73">
        <f t="shared" si="30"/>
        <v>1.885</v>
      </c>
      <c r="I243" s="30">
        <v>2</v>
      </c>
      <c r="J243" s="30"/>
      <c r="K243" s="30"/>
      <c r="L243" s="32">
        <f t="shared" si="31"/>
        <v>2</v>
      </c>
      <c r="M243" s="74"/>
      <c r="N243" s="74"/>
      <c r="O243" s="74"/>
      <c r="P243" s="74"/>
      <c r="Q243" s="74"/>
    </row>
    <row r="244" spans="1:17" s="71" customFormat="1" ht="13.5" thickBot="1">
      <c r="A244" s="71" t="s">
        <v>101</v>
      </c>
      <c r="B244" s="72">
        <v>10</v>
      </c>
      <c r="C244" s="72">
        <v>1</v>
      </c>
      <c r="D244" s="73">
        <v>1</v>
      </c>
      <c r="E244" s="73">
        <v>2</v>
      </c>
      <c r="F244" s="73">
        <v>10.11</v>
      </c>
      <c r="G244" s="73">
        <f t="shared" si="32"/>
        <v>20.22</v>
      </c>
      <c r="H244" s="73">
        <f t="shared" si="30"/>
        <v>1.6849999999999998</v>
      </c>
      <c r="I244" s="30">
        <v>2</v>
      </c>
      <c r="J244" s="30"/>
      <c r="K244" s="30"/>
      <c r="L244" s="32">
        <f t="shared" si="31"/>
        <v>2</v>
      </c>
      <c r="M244" s="74"/>
      <c r="N244" s="74"/>
      <c r="O244" s="74"/>
      <c r="P244" s="74"/>
      <c r="Q244" s="74"/>
    </row>
    <row r="245" spans="1:17" s="71" customFormat="1" ht="13.5" thickBot="1">
      <c r="A245" s="71">
        <v>401</v>
      </c>
      <c r="B245" s="72">
        <v>10</v>
      </c>
      <c r="C245" s="72">
        <v>1</v>
      </c>
      <c r="D245" s="73">
        <v>1</v>
      </c>
      <c r="E245" s="73">
        <v>136</v>
      </c>
      <c r="F245" s="73">
        <v>2</v>
      </c>
      <c r="G245" s="73">
        <f t="shared" si="32"/>
        <v>272</v>
      </c>
      <c r="H245" s="73">
        <f t="shared" si="30"/>
        <v>22.666666666666668</v>
      </c>
      <c r="I245" s="30">
        <v>23</v>
      </c>
      <c r="J245" s="30"/>
      <c r="K245" s="30"/>
      <c r="L245" s="32">
        <f t="shared" si="31"/>
        <v>23</v>
      </c>
      <c r="M245" s="74"/>
      <c r="N245" s="74"/>
      <c r="O245" s="74"/>
      <c r="P245" s="74"/>
      <c r="Q245" s="74"/>
    </row>
    <row r="246" spans="1:17" s="71" customFormat="1" ht="13.5" thickBot="1">
      <c r="D246" s="75"/>
      <c r="E246" s="75"/>
      <c r="F246" s="75"/>
      <c r="G246" s="75"/>
      <c r="H246" s="75"/>
      <c r="M246" s="74"/>
      <c r="N246" s="74"/>
      <c r="O246" s="74"/>
      <c r="P246" s="74"/>
      <c r="Q246" s="74"/>
    </row>
    <row r="247" spans="1:17" s="71" customFormat="1" ht="13.5" thickBot="1">
      <c r="D247" s="75"/>
      <c r="E247" s="75"/>
      <c r="F247" s="75"/>
      <c r="G247" s="75"/>
      <c r="H247" s="75"/>
      <c r="M247" s="74"/>
      <c r="N247" s="74"/>
      <c r="O247" s="74"/>
      <c r="P247" s="74"/>
      <c r="Q247" s="74"/>
    </row>
    <row r="248" spans="1:17" s="71" customFormat="1" ht="13.5" thickBot="1">
      <c r="D248" s="75"/>
      <c r="E248" s="75"/>
      <c r="F248" s="75"/>
      <c r="G248" s="75"/>
      <c r="H248" s="75"/>
      <c r="M248" s="74"/>
      <c r="N248" s="74"/>
      <c r="O248" s="74"/>
      <c r="P248" s="74"/>
      <c r="Q248" s="74"/>
    </row>
    <row r="249" spans="1:17" s="71" customFormat="1" ht="13.5" thickBot="1">
      <c r="D249" s="75"/>
      <c r="E249" s="75"/>
      <c r="F249" s="75"/>
      <c r="G249" s="75"/>
      <c r="H249" s="75"/>
      <c r="M249" s="74"/>
      <c r="N249" s="74"/>
      <c r="O249" s="74"/>
      <c r="P249" s="74"/>
      <c r="Q249" s="74"/>
    </row>
    <row r="250" spans="1:17" s="71" customFormat="1" ht="13.5" thickBot="1">
      <c r="D250" s="75"/>
      <c r="E250" s="75"/>
      <c r="F250" s="75"/>
      <c r="G250" s="75"/>
      <c r="H250" s="75"/>
      <c r="M250" s="74"/>
      <c r="N250" s="74"/>
      <c r="O250" s="74"/>
      <c r="P250" s="74"/>
      <c r="Q250" s="74"/>
    </row>
    <row r="251" spans="1:17" s="71" customFormat="1" ht="13.5" thickBot="1">
      <c r="D251" s="75"/>
      <c r="E251" s="75"/>
      <c r="F251" s="75"/>
      <c r="G251" s="75"/>
      <c r="H251" s="75"/>
      <c r="M251" s="74"/>
      <c r="N251" s="74"/>
      <c r="O251" s="74"/>
      <c r="P251" s="74"/>
      <c r="Q251" s="74"/>
    </row>
    <row r="252" spans="1:17" s="71" customFormat="1" ht="13.5" thickBot="1">
      <c r="D252" s="75"/>
      <c r="E252" s="75"/>
      <c r="F252" s="75"/>
      <c r="G252" s="75"/>
      <c r="H252" s="75"/>
      <c r="M252" s="74"/>
      <c r="N252" s="74"/>
      <c r="O252" s="74"/>
      <c r="P252" s="74"/>
      <c r="Q252" s="74"/>
    </row>
    <row r="253" spans="1:17" ht="18.75" thickBot="1">
      <c r="A253" s="2"/>
      <c r="B253" s="22">
        <v>10</v>
      </c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1">
        <v>13</v>
      </c>
      <c r="N253" s="12"/>
      <c r="O253" s="12"/>
      <c r="P253" s="12"/>
      <c r="Q253" s="13"/>
    </row>
    <row r="254" spans="1:17" s="56" customFormat="1" ht="18">
      <c r="A254" s="12"/>
      <c r="B254" s="59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60"/>
      <c r="N254" s="12"/>
      <c r="O254" s="12"/>
      <c r="P254" s="12"/>
      <c r="Q254" s="55"/>
    </row>
    <row r="255" spans="1:17" ht="13.5" thickBot="1">
      <c r="N255" s="56"/>
      <c r="O255" s="56"/>
      <c r="P255" s="56"/>
      <c r="Q255" s="55"/>
    </row>
    <row r="256" spans="1:17" ht="13.5" thickBot="1">
      <c r="A256" s="2" t="s">
        <v>59</v>
      </c>
      <c r="B256" s="29">
        <v>12</v>
      </c>
      <c r="C256" s="30">
        <v>3</v>
      </c>
      <c r="D256" s="30">
        <v>1</v>
      </c>
      <c r="E256" s="30">
        <f>D256*C256</f>
        <v>3</v>
      </c>
      <c r="F256" s="31">
        <v>3.1</v>
      </c>
      <c r="G256" s="30">
        <f t="shared" ref="G256:G298" si="33">+F256*E256</f>
        <v>9.3000000000000007</v>
      </c>
      <c r="H256" s="30">
        <f>+G256/$G$2</f>
        <v>0.77500000000000002</v>
      </c>
      <c r="I256" s="30">
        <v>1</v>
      </c>
      <c r="J256" s="30"/>
      <c r="K256" s="30"/>
      <c r="L256" s="32">
        <f>I256</f>
        <v>1</v>
      </c>
      <c r="M256" s="20">
        <f>SUM(L256:L298)</f>
        <v>80</v>
      </c>
      <c r="N256" s="12">
        <v>3.3</v>
      </c>
      <c r="O256" s="12">
        <v>4</v>
      </c>
      <c r="P256" s="12">
        <f>O256*N256</f>
        <v>13.2</v>
      </c>
      <c r="Q256" s="55"/>
    </row>
    <row r="257" spans="1:25" ht="13.5" thickBot="1">
      <c r="A257" s="2" t="s">
        <v>58</v>
      </c>
      <c r="B257" s="29">
        <v>12</v>
      </c>
      <c r="C257" s="30">
        <v>3</v>
      </c>
      <c r="D257" s="30">
        <v>1</v>
      </c>
      <c r="E257" s="30">
        <f>D257*C257</f>
        <v>3</v>
      </c>
      <c r="F257" s="31">
        <v>3.3</v>
      </c>
      <c r="G257" s="30">
        <f t="shared" si="33"/>
        <v>9.8999999999999986</v>
      </c>
      <c r="H257" s="30">
        <f>+G257/$G$2</f>
        <v>0.82499999999999984</v>
      </c>
      <c r="I257" s="30">
        <v>1</v>
      </c>
      <c r="J257" s="30"/>
      <c r="K257" s="30"/>
      <c r="L257" s="32">
        <f t="shared" ref="L257:L298" si="34">I257</f>
        <v>1</v>
      </c>
      <c r="M257" s="13"/>
      <c r="N257" s="12">
        <v>3.3</v>
      </c>
      <c r="O257" s="12">
        <v>4</v>
      </c>
      <c r="P257" s="12">
        <f>O257*N257</f>
        <v>13.2</v>
      </c>
      <c r="Q257" s="55"/>
    </row>
    <row r="258" spans="1:25" ht="13.5" thickBot="1">
      <c r="A258" s="2" t="s">
        <v>63</v>
      </c>
      <c r="B258" s="29">
        <v>12</v>
      </c>
      <c r="C258" s="30">
        <v>39</v>
      </c>
      <c r="D258" s="30">
        <v>1</v>
      </c>
      <c r="E258" s="30">
        <f>D258*C258</f>
        <v>39</v>
      </c>
      <c r="F258" s="31">
        <v>2.4700000000000002</v>
      </c>
      <c r="G258" s="30">
        <f t="shared" si="33"/>
        <v>96.330000000000013</v>
      </c>
      <c r="H258" s="30">
        <f>+G258/$G$2</f>
        <v>8.0275000000000016</v>
      </c>
      <c r="I258" s="30">
        <v>8</v>
      </c>
      <c r="J258" s="30"/>
      <c r="K258" s="30"/>
      <c r="L258" s="32">
        <f t="shared" si="34"/>
        <v>8</v>
      </c>
      <c r="M258" s="13"/>
      <c r="N258" s="12">
        <v>3.3</v>
      </c>
      <c r="O258" s="12">
        <v>4</v>
      </c>
      <c r="P258" s="12">
        <f>O258*N258</f>
        <v>13.2</v>
      </c>
      <c r="Q258" s="55"/>
    </row>
    <row r="259" spans="1:25" ht="13.5" thickBot="1">
      <c r="A259" s="2" t="s">
        <v>63</v>
      </c>
      <c r="B259" s="29">
        <v>12</v>
      </c>
      <c r="C259" s="30">
        <v>18</v>
      </c>
      <c r="D259" s="30">
        <v>1</v>
      </c>
      <c r="E259" s="30">
        <f>D259*C259</f>
        <v>18</v>
      </c>
      <c r="F259" s="31">
        <v>2.0699999999999998</v>
      </c>
      <c r="G259" s="30">
        <f t="shared" si="33"/>
        <v>37.26</v>
      </c>
      <c r="H259" s="30">
        <f>+G259/$G$2</f>
        <v>3.105</v>
      </c>
      <c r="I259" s="30">
        <v>3</v>
      </c>
      <c r="J259" s="30"/>
      <c r="K259" s="30"/>
      <c r="L259" s="32">
        <f t="shared" si="34"/>
        <v>3</v>
      </c>
      <c r="M259" s="13"/>
      <c r="N259" s="12">
        <v>3.3</v>
      </c>
      <c r="O259" s="12">
        <v>4</v>
      </c>
      <c r="P259" s="12">
        <f>O259*N259</f>
        <v>13.2</v>
      </c>
      <c r="Q259" s="55"/>
    </row>
    <row r="260" spans="1:25" s="12" customFormat="1" ht="13.5" thickBot="1">
      <c r="A260" s="12" t="s">
        <v>67</v>
      </c>
      <c r="B260" s="25">
        <v>12</v>
      </c>
      <c r="C260" s="25">
        <v>1</v>
      </c>
      <c r="D260" s="30">
        <v>1</v>
      </c>
      <c r="E260" s="30">
        <v>6</v>
      </c>
      <c r="F260" s="30">
        <v>3.45</v>
      </c>
      <c r="G260" s="30">
        <f t="shared" si="33"/>
        <v>20.700000000000003</v>
      </c>
      <c r="H260" s="30">
        <f t="shared" ref="H260:H298" si="35">+G260/$G$2</f>
        <v>1.7250000000000003</v>
      </c>
      <c r="I260" s="30">
        <v>2</v>
      </c>
      <c r="J260" s="30"/>
      <c r="K260" s="30"/>
      <c r="L260" s="32">
        <f t="shared" si="34"/>
        <v>2</v>
      </c>
      <c r="M260" s="55"/>
      <c r="N260" s="55"/>
      <c r="O260" s="55"/>
      <c r="P260" s="55"/>
      <c r="Q260" s="55"/>
    </row>
    <row r="261" spans="1:25" s="12" customFormat="1" ht="13.5" thickBot="1">
      <c r="A261" s="12" t="s">
        <v>67</v>
      </c>
      <c r="B261" s="25">
        <v>12</v>
      </c>
      <c r="C261" s="25">
        <v>1</v>
      </c>
      <c r="D261" s="30">
        <v>1</v>
      </c>
      <c r="E261" s="30">
        <v>6</v>
      </c>
      <c r="F261" s="30">
        <v>3.45</v>
      </c>
      <c r="G261" s="30">
        <f t="shared" si="33"/>
        <v>20.700000000000003</v>
      </c>
      <c r="H261" s="30">
        <f t="shared" si="35"/>
        <v>1.7250000000000003</v>
      </c>
      <c r="I261" s="30">
        <v>2</v>
      </c>
      <c r="J261" s="30"/>
      <c r="K261" s="30"/>
      <c r="L261" s="32">
        <f t="shared" si="34"/>
        <v>2</v>
      </c>
      <c r="M261" s="55"/>
      <c r="N261" s="55"/>
      <c r="O261" s="55"/>
      <c r="P261" s="55"/>
      <c r="Q261" s="55"/>
    </row>
    <row r="262" spans="1:25" s="2" customFormat="1" ht="13.5" thickBot="1">
      <c r="A262" s="62" t="s">
        <v>69</v>
      </c>
      <c r="B262" s="63">
        <v>12</v>
      </c>
      <c r="C262" s="63">
        <v>2</v>
      </c>
      <c r="D262" s="64">
        <v>1</v>
      </c>
      <c r="E262" s="64">
        <v>2</v>
      </c>
      <c r="F262" s="31">
        <v>5</v>
      </c>
      <c r="G262" s="64">
        <f t="shared" si="33"/>
        <v>10</v>
      </c>
      <c r="H262" s="64">
        <f t="shared" si="35"/>
        <v>0.83333333333333337</v>
      </c>
      <c r="I262" s="30">
        <v>1</v>
      </c>
      <c r="J262" s="30"/>
      <c r="K262" s="30"/>
      <c r="L262" s="32">
        <f t="shared" si="34"/>
        <v>1</v>
      </c>
      <c r="M262" s="13"/>
      <c r="N262" s="13"/>
      <c r="O262" s="13"/>
      <c r="P262" s="13"/>
      <c r="Q262" s="13"/>
      <c r="R262" s="12"/>
      <c r="S262" s="12"/>
      <c r="T262" s="12"/>
      <c r="U262" s="12"/>
      <c r="V262" s="1"/>
      <c r="W262" s="1"/>
      <c r="X262" s="1"/>
      <c r="Y262" s="1"/>
    </row>
    <row r="263" spans="1:25" s="2" customFormat="1" ht="13.5" thickBot="1">
      <c r="A263" s="62" t="s">
        <v>74</v>
      </c>
      <c r="B263" s="63">
        <v>12</v>
      </c>
      <c r="C263" s="63">
        <v>2</v>
      </c>
      <c r="D263" s="64">
        <v>1</v>
      </c>
      <c r="E263" s="64">
        <v>4</v>
      </c>
      <c r="F263" s="31">
        <v>1.38</v>
      </c>
      <c r="G263" s="64">
        <f t="shared" si="33"/>
        <v>5.52</v>
      </c>
      <c r="H263" s="64">
        <f t="shared" si="35"/>
        <v>0.45999999999999996</v>
      </c>
      <c r="I263" s="30">
        <v>1</v>
      </c>
      <c r="J263" s="30"/>
      <c r="K263" s="30"/>
      <c r="L263" s="32">
        <f t="shared" si="34"/>
        <v>1</v>
      </c>
      <c r="M263" s="13"/>
      <c r="N263" s="13"/>
      <c r="O263" s="13"/>
      <c r="P263" s="13"/>
      <c r="Q263" s="13"/>
      <c r="R263" s="12"/>
      <c r="S263" s="12"/>
      <c r="T263" s="12"/>
      <c r="U263" s="12"/>
      <c r="V263" s="1"/>
      <c r="W263" s="1"/>
      <c r="X263" s="1"/>
      <c r="Y263" s="1"/>
    </row>
    <row r="264" spans="1:25" s="2" customFormat="1" ht="13.5" thickBot="1">
      <c r="A264" s="62" t="s">
        <v>76</v>
      </c>
      <c r="B264" s="63">
        <v>12</v>
      </c>
      <c r="C264" s="63">
        <v>2</v>
      </c>
      <c r="D264" s="64">
        <v>1</v>
      </c>
      <c r="E264" s="64">
        <v>2</v>
      </c>
      <c r="F264" s="31">
        <v>6.3</v>
      </c>
      <c r="G264" s="64">
        <f t="shared" si="33"/>
        <v>12.6</v>
      </c>
      <c r="H264" s="64">
        <f t="shared" si="35"/>
        <v>1.05</v>
      </c>
      <c r="I264" s="30">
        <v>1</v>
      </c>
      <c r="J264" s="30"/>
      <c r="K264" s="30"/>
      <c r="L264" s="32">
        <f t="shared" si="34"/>
        <v>1</v>
      </c>
      <c r="M264" s="13"/>
      <c r="N264" s="13"/>
      <c r="O264" s="13"/>
      <c r="P264" s="13"/>
      <c r="Q264" s="13"/>
      <c r="R264" s="12"/>
      <c r="S264" s="12"/>
      <c r="T264" s="12"/>
      <c r="U264" s="12"/>
      <c r="V264" s="1"/>
      <c r="W264" s="1"/>
      <c r="X264" s="1"/>
      <c r="Y264" s="1"/>
    </row>
    <row r="265" spans="1:25" s="2" customFormat="1" ht="13.5" thickBot="1">
      <c r="A265" s="62" t="s">
        <v>77</v>
      </c>
      <c r="B265" s="63">
        <v>12</v>
      </c>
      <c r="C265" s="63">
        <v>2</v>
      </c>
      <c r="D265" s="64">
        <v>1</v>
      </c>
      <c r="E265" s="64">
        <v>3</v>
      </c>
      <c r="F265" s="31">
        <v>2.75</v>
      </c>
      <c r="G265" s="64">
        <f t="shared" si="33"/>
        <v>8.25</v>
      </c>
      <c r="H265" s="64">
        <f t="shared" si="35"/>
        <v>0.6875</v>
      </c>
      <c r="I265" s="30">
        <v>1</v>
      </c>
      <c r="J265" s="30"/>
      <c r="K265" s="30"/>
      <c r="L265" s="32">
        <f t="shared" si="34"/>
        <v>1</v>
      </c>
      <c r="M265" s="13"/>
      <c r="N265" s="13"/>
      <c r="O265" s="13"/>
      <c r="P265" s="13"/>
      <c r="Q265" s="13"/>
      <c r="R265" s="12"/>
      <c r="S265" s="12"/>
      <c r="T265" s="12"/>
      <c r="U265" s="12"/>
      <c r="V265" s="1"/>
      <c r="W265" s="1"/>
      <c r="X265" s="1"/>
      <c r="Y265" s="1"/>
    </row>
    <row r="266" spans="1:25" s="2" customFormat="1" ht="13.5" thickBot="1">
      <c r="A266" s="62" t="s">
        <v>78</v>
      </c>
      <c r="B266" s="63">
        <v>12</v>
      </c>
      <c r="C266" s="63">
        <v>1</v>
      </c>
      <c r="D266" s="64">
        <v>1</v>
      </c>
      <c r="E266" s="64">
        <v>1</v>
      </c>
      <c r="F266" s="31">
        <v>2.2000000000000002</v>
      </c>
      <c r="G266" s="64">
        <f t="shared" si="33"/>
        <v>2.2000000000000002</v>
      </c>
      <c r="H266" s="64">
        <f t="shared" si="35"/>
        <v>0.18333333333333335</v>
      </c>
      <c r="I266" s="30">
        <v>0</v>
      </c>
      <c r="J266" s="30"/>
      <c r="K266" s="30"/>
      <c r="L266" s="32">
        <f t="shared" si="34"/>
        <v>0</v>
      </c>
      <c r="M266" s="13"/>
      <c r="N266" s="13"/>
      <c r="O266" s="13"/>
      <c r="P266" s="13"/>
      <c r="Q266" s="13"/>
      <c r="R266" s="12"/>
      <c r="S266" s="12"/>
      <c r="T266" s="12"/>
      <c r="U266" s="12"/>
      <c r="V266" s="1"/>
      <c r="W266" s="1"/>
      <c r="X266" s="1"/>
      <c r="Y266" s="1"/>
    </row>
    <row r="267" spans="1:25" s="2" customFormat="1" ht="13.5" thickBot="1">
      <c r="A267" s="62" t="s">
        <v>79</v>
      </c>
      <c r="B267" s="63">
        <v>12</v>
      </c>
      <c r="C267" s="63">
        <v>1</v>
      </c>
      <c r="D267" s="64">
        <v>1</v>
      </c>
      <c r="E267" s="64">
        <v>2</v>
      </c>
      <c r="F267" s="31">
        <v>4.2</v>
      </c>
      <c r="G267" s="64">
        <f t="shared" si="33"/>
        <v>8.4</v>
      </c>
      <c r="H267" s="64">
        <f t="shared" si="35"/>
        <v>0.70000000000000007</v>
      </c>
      <c r="I267" s="30">
        <v>1</v>
      </c>
      <c r="J267" s="30"/>
      <c r="K267" s="30"/>
      <c r="L267" s="32">
        <f t="shared" si="34"/>
        <v>1</v>
      </c>
      <c r="M267" s="13"/>
      <c r="N267" s="13"/>
      <c r="O267" s="13"/>
      <c r="P267" s="13"/>
      <c r="Q267" s="13"/>
      <c r="R267" s="12"/>
      <c r="S267" s="12"/>
      <c r="T267" s="12"/>
      <c r="U267" s="12"/>
      <c r="V267" s="1"/>
      <c r="W267" s="1"/>
      <c r="X267" s="1"/>
      <c r="Y267" s="1"/>
    </row>
    <row r="268" spans="1:25" s="2" customFormat="1" ht="13.5" thickBot="1">
      <c r="A268" s="62" t="s">
        <v>79</v>
      </c>
      <c r="B268" s="63">
        <v>12</v>
      </c>
      <c r="C268" s="63">
        <v>1</v>
      </c>
      <c r="D268" s="64">
        <v>1</v>
      </c>
      <c r="E268" s="64">
        <v>31</v>
      </c>
      <c r="F268" s="31">
        <v>1.53</v>
      </c>
      <c r="G268" s="64">
        <f t="shared" si="33"/>
        <v>47.43</v>
      </c>
      <c r="H268" s="64">
        <f t="shared" si="35"/>
        <v>3.9525000000000001</v>
      </c>
      <c r="I268" s="30">
        <v>4</v>
      </c>
      <c r="J268" s="30"/>
      <c r="K268" s="30"/>
      <c r="L268" s="32">
        <f t="shared" si="34"/>
        <v>4</v>
      </c>
      <c r="M268" s="13"/>
      <c r="N268" s="13"/>
      <c r="O268" s="13"/>
      <c r="P268" s="13"/>
      <c r="Q268" s="13"/>
      <c r="R268" s="12"/>
      <c r="S268" s="12"/>
      <c r="T268" s="12"/>
      <c r="U268" s="12"/>
      <c r="V268" s="1"/>
      <c r="W268" s="1"/>
      <c r="X268" s="1"/>
      <c r="Y268" s="1"/>
    </row>
    <row r="269" spans="1:25" s="2" customFormat="1" ht="13.5" thickBot="1">
      <c r="A269" s="62" t="s">
        <v>119</v>
      </c>
      <c r="B269" s="63">
        <v>12</v>
      </c>
      <c r="C269" s="63">
        <v>1</v>
      </c>
      <c r="D269" s="64">
        <v>1</v>
      </c>
      <c r="E269" s="64">
        <v>31</v>
      </c>
      <c r="F269" s="31">
        <v>1.4</v>
      </c>
      <c r="G269" s="64">
        <f t="shared" si="33"/>
        <v>43.4</v>
      </c>
      <c r="H269" s="64">
        <f t="shared" si="35"/>
        <v>3.6166666666666667</v>
      </c>
      <c r="I269" s="30">
        <v>4</v>
      </c>
      <c r="J269" s="30"/>
      <c r="K269" s="30"/>
      <c r="L269" s="32">
        <f t="shared" si="34"/>
        <v>4</v>
      </c>
      <c r="M269" s="13"/>
      <c r="N269" s="13"/>
      <c r="O269" s="13"/>
      <c r="P269" s="13"/>
      <c r="Q269" s="13"/>
      <c r="R269" s="12"/>
      <c r="S269" s="12"/>
      <c r="T269" s="12"/>
      <c r="U269" s="12"/>
      <c r="V269" s="1"/>
      <c r="W269" s="1"/>
      <c r="X269" s="1"/>
      <c r="Y269" s="1"/>
    </row>
    <row r="270" spans="1:25" s="2" customFormat="1" ht="13.5" thickBot="1">
      <c r="A270" s="62" t="s">
        <v>67</v>
      </c>
      <c r="B270" s="63">
        <v>12</v>
      </c>
      <c r="C270" s="63">
        <v>1</v>
      </c>
      <c r="D270" s="64">
        <v>1</v>
      </c>
      <c r="E270" s="64">
        <v>6</v>
      </c>
      <c r="F270" s="31">
        <v>3.45</v>
      </c>
      <c r="G270" s="64">
        <f t="shared" si="33"/>
        <v>20.700000000000003</v>
      </c>
      <c r="H270" s="64">
        <f t="shared" si="35"/>
        <v>1.7250000000000003</v>
      </c>
      <c r="I270" s="30">
        <v>2</v>
      </c>
      <c r="J270" s="30"/>
      <c r="K270" s="30"/>
      <c r="L270" s="32">
        <f t="shared" si="34"/>
        <v>2</v>
      </c>
      <c r="M270" s="13"/>
      <c r="N270" s="13"/>
      <c r="O270" s="13"/>
      <c r="P270" s="13"/>
      <c r="Q270" s="13"/>
      <c r="R270" s="12"/>
      <c r="S270" s="12"/>
      <c r="T270" s="12"/>
      <c r="U270" s="12"/>
      <c r="V270" s="1"/>
      <c r="W270" s="1"/>
      <c r="X270" s="1"/>
      <c r="Y270" s="1"/>
    </row>
    <row r="271" spans="1:25" s="2" customFormat="1" ht="13.5" thickBot="1">
      <c r="A271" s="62" t="s">
        <v>67</v>
      </c>
      <c r="B271" s="63">
        <v>12</v>
      </c>
      <c r="C271" s="63">
        <v>1</v>
      </c>
      <c r="D271" s="64">
        <v>1</v>
      </c>
      <c r="E271" s="64">
        <v>8</v>
      </c>
      <c r="F271" s="31">
        <v>3.45</v>
      </c>
      <c r="G271" s="64">
        <f t="shared" si="33"/>
        <v>27.6</v>
      </c>
      <c r="H271" s="64">
        <f t="shared" si="35"/>
        <v>2.3000000000000003</v>
      </c>
      <c r="I271" s="30">
        <v>2</v>
      </c>
      <c r="J271" s="30"/>
      <c r="K271" s="30"/>
      <c r="L271" s="32">
        <f t="shared" si="34"/>
        <v>2</v>
      </c>
      <c r="M271" s="13"/>
      <c r="N271" s="13"/>
      <c r="O271" s="13"/>
      <c r="P271" s="13"/>
      <c r="Q271" s="13"/>
      <c r="R271" s="12"/>
      <c r="S271" s="12"/>
      <c r="T271" s="12"/>
      <c r="U271" s="12"/>
      <c r="V271" s="1"/>
      <c r="W271" s="1"/>
      <c r="X271" s="1"/>
      <c r="Y271" s="1"/>
    </row>
    <row r="272" spans="1:25" s="24" customFormat="1" ht="13.5" thickBot="1">
      <c r="A272" s="24" t="s">
        <v>67</v>
      </c>
      <c r="B272" s="27">
        <v>12</v>
      </c>
      <c r="C272" s="27">
        <v>1</v>
      </c>
      <c r="D272" s="69">
        <v>1</v>
      </c>
      <c r="E272" s="69">
        <v>6</v>
      </c>
      <c r="F272" s="69">
        <v>3.45</v>
      </c>
      <c r="G272" s="69">
        <f t="shared" si="33"/>
        <v>20.700000000000003</v>
      </c>
      <c r="H272" s="69">
        <f t="shared" si="35"/>
        <v>1.7250000000000003</v>
      </c>
      <c r="I272" s="30">
        <v>2</v>
      </c>
      <c r="J272" s="30"/>
      <c r="K272" s="30"/>
      <c r="L272" s="32">
        <f t="shared" si="34"/>
        <v>2</v>
      </c>
      <c r="M272" s="68"/>
      <c r="N272" s="68"/>
      <c r="O272" s="68"/>
      <c r="P272" s="68"/>
      <c r="Q272" s="68"/>
    </row>
    <row r="273" spans="1:17" s="24" customFormat="1" ht="13.5" thickBot="1">
      <c r="A273" s="24" t="s">
        <v>67</v>
      </c>
      <c r="B273" s="27">
        <v>12</v>
      </c>
      <c r="C273" s="27">
        <v>1</v>
      </c>
      <c r="D273" s="69">
        <v>1</v>
      </c>
      <c r="E273" s="69">
        <v>8</v>
      </c>
      <c r="F273" s="69">
        <v>3.45</v>
      </c>
      <c r="G273" s="69">
        <f t="shared" si="33"/>
        <v>27.6</v>
      </c>
      <c r="H273" s="69">
        <f t="shared" si="35"/>
        <v>2.3000000000000003</v>
      </c>
      <c r="I273" s="30">
        <v>2</v>
      </c>
      <c r="J273" s="30"/>
      <c r="K273" s="30"/>
      <c r="L273" s="32">
        <f t="shared" si="34"/>
        <v>2</v>
      </c>
      <c r="M273" s="68"/>
      <c r="N273" s="68"/>
      <c r="O273" s="68"/>
      <c r="P273" s="68"/>
      <c r="Q273" s="68"/>
    </row>
    <row r="274" spans="1:17" s="24" customFormat="1" ht="13.5" thickBot="1">
      <c r="A274" s="24" t="s">
        <v>67</v>
      </c>
      <c r="B274" s="27">
        <v>12</v>
      </c>
      <c r="C274" s="27">
        <v>1</v>
      </c>
      <c r="D274" s="69">
        <v>1</v>
      </c>
      <c r="E274" s="69">
        <v>8</v>
      </c>
      <c r="F274" s="69">
        <v>3.45</v>
      </c>
      <c r="G274" s="69">
        <f t="shared" si="33"/>
        <v>27.6</v>
      </c>
      <c r="H274" s="69">
        <f t="shared" si="35"/>
        <v>2.3000000000000003</v>
      </c>
      <c r="I274" s="30">
        <v>2</v>
      </c>
      <c r="J274" s="30"/>
      <c r="K274" s="30"/>
      <c r="L274" s="32">
        <f t="shared" si="34"/>
        <v>2</v>
      </c>
      <c r="M274" s="68"/>
      <c r="N274" s="68"/>
      <c r="O274" s="68"/>
      <c r="P274" s="68"/>
      <c r="Q274" s="68"/>
    </row>
    <row r="275" spans="1:17" s="24" customFormat="1" ht="13.5" thickBot="1">
      <c r="A275" s="24" t="s">
        <v>88</v>
      </c>
      <c r="B275" s="27">
        <v>12</v>
      </c>
      <c r="C275" s="27">
        <v>1</v>
      </c>
      <c r="D275" s="69">
        <v>1</v>
      </c>
      <c r="E275" s="69">
        <v>4</v>
      </c>
      <c r="F275" s="69">
        <v>3.77</v>
      </c>
      <c r="G275" s="69">
        <f t="shared" si="33"/>
        <v>15.08</v>
      </c>
      <c r="H275" s="69">
        <f t="shared" si="35"/>
        <v>1.2566666666666666</v>
      </c>
      <c r="I275" s="30">
        <v>2</v>
      </c>
      <c r="J275" s="30"/>
      <c r="K275" s="30"/>
      <c r="L275" s="32">
        <f t="shared" si="34"/>
        <v>2</v>
      </c>
      <c r="M275" s="68"/>
      <c r="N275" s="68"/>
      <c r="O275" s="68"/>
      <c r="P275" s="68"/>
      <c r="Q275" s="68"/>
    </row>
    <row r="276" spans="1:17" s="24" customFormat="1" ht="13.5" thickBot="1">
      <c r="A276" s="24" t="s">
        <v>89</v>
      </c>
      <c r="B276" s="27">
        <v>12</v>
      </c>
      <c r="C276" s="27">
        <v>1</v>
      </c>
      <c r="D276" s="69">
        <v>1</v>
      </c>
      <c r="E276" s="69">
        <v>4</v>
      </c>
      <c r="F276" s="69">
        <v>3.77</v>
      </c>
      <c r="G276" s="69">
        <f t="shared" si="33"/>
        <v>15.08</v>
      </c>
      <c r="H276" s="69">
        <f t="shared" si="35"/>
        <v>1.2566666666666666</v>
      </c>
      <c r="I276" s="30">
        <v>1</v>
      </c>
      <c r="J276" s="30"/>
      <c r="K276" s="30"/>
      <c r="L276" s="32">
        <f t="shared" si="34"/>
        <v>1</v>
      </c>
      <c r="M276" s="68"/>
      <c r="N276" s="68"/>
      <c r="O276" s="68"/>
      <c r="P276" s="68"/>
      <c r="Q276" s="68"/>
    </row>
    <row r="277" spans="1:17" s="24" customFormat="1" ht="13.5" thickBot="1">
      <c r="A277" s="24" t="s">
        <v>90</v>
      </c>
      <c r="B277" s="27">
        <v>12</v>
      </c>
      <c r="C277" s="27">
        <v>1</v>
      </c>
      <c r="D277" s="69">
        <v>1</v>
      </c>
      <c r="E277" s="69">
        <v>6</v>
      </c>
      <c r="F277" s="69">
        <v>3.77</v>
      </c>
      <c r="G277" s="69">
        <f t="shared" si="33"/>
        <v>22.62</v>
      </c>
      <c r="H277" s="69">
        <f t="shared" si="35"/>
        <v>1.885</v>
      </c>
      <c r="I277" s="30">
        <v>2</v>
      </c>
      <c r="J277" s="30"/>
      <c r="K277" s="30"/>
      <c r="L277" s="32">
        <f t="shared" si="34"/>
        <v>2</v>
      </c>
      <c r="M277" s="68"/>
      <c r="N277" s="68"/>
      <c r="O277" s="68"/>
      <c r="P277" s="68"/>
      <c r="Q277" s="68"/>
    </row>
    <row r="278" spans="1:17" s="71" customFormat="1" ht="13.5" thickBot="1">
      <c r="A278" s="71" t="s">
        <v>92</v>
      </c>
      <c r="B278" s="72">
        <v>12</v>
      </c>
      <c r="C278" s="72">
        <v>1</v>
      </c>
      <c r="D278" s="73">
        <v>1</v>
      </c>
      <c r="E278" s="73">
        <v>3</v>
      </c>
      <c r="F278" s="73">
        <v>2.4</v>
      </c>
      <c r="G278" s="73">
        <f t="shared" si="33"/>
        <v>7.1999999999999993</v>
      </c>
      <c r="H278" s="73">
        <f t="shared" si="35"/>
        <v>0.6</v>
      </c>
      <c r="I278" s="30">
        <v>1</v>
      </c>
      <c r="J278" s="30"/>
      <c r="K278" s="30"/>
      <c r="L278" s="32">
        <f t="shared" si="34"/>
        <v>1</v>
      </c>
      <c r="M278" s="74"/>
      <c r="N278" s="74"/>
      <c r="O278" s="74"/>
      <c r="P278" s="74"/>
      <c r="Q278" s="74"/>
    </row>
    <row r="279" spans="1:17" s="71" customFormat="1" ht="13.5" thickBot="1">
      <c r="A279" s="71" t="s">
        <v>92</v>
      </c>
      <c r="B279" s="72">
        <v>12</v>
      </c>
      <c r="C279" s="72">
        <v>1</v>
      </c>
      <c r="D279" s="73">
        <v>1</v>
      </c>
      <c r="E279" s="73">
        <v>3</v>
      </c>
      <c r="F279" s="73">
        <v>3</v>
      </c>
      <c r="G279" s="73">
        <f t="shared" si="33"/>
        <v>9</v>
      </c>
      <c r="H279" s="73">
        <f t="shared" si="35"/>
        <v>0.75</v>
      </c>
      <c r="I279" s="30">
        <v>1</v>
      </c>
      <c r="J279" s="30"/>
      <c r="K279" s="30"/>
      <c r="L279" s="32">
        <f t="shared" si="34"/>
        <v>1</v>
      </c>
      <c r="M279" s="74"/>
      <c r="N279" s="74"/>
      <c r="O279" s="74"/>
      <c r="P279" s="74"/>
      <c r="Q279" s="74"/>
    </row>
    <row r="280" spans="1:17" s="71" customFormat="1" ht="13.5" thickBot="1">
      <c r="A280" s="71" t="s">
        <v>92</v>
      </c>
      <c r="B280" s="72">
        <v>12</v>
      </c>
      <c r="C280" s="72">
        <v>1</v>
      </c>
      <c r="D280" s="73">
        <v>1</v>
      </c>
      <c r="E280" s="73">
        <v>3</v>
      </c>
      <c r="F280" s="73">
        <v>5.0999999999999996</v>
      </c>
      <c r="G280" s="73">
        <f t="shared" si="33"/>
        <v>15.299999999999999</v>
      </c>
      <c r="H280" s="73">
        <f t="shared" si="35"/>
        <v>1.2749999999999999</v>
      </c>
      <c r="I280" s="30">
        <v>1</v>
      </c>
      <c r="J280" s="30"/>
      <c r="K280" s="30"/>
      <c r="L280" s="32">
        <f t="shared" si="34"/>
        <v>1</v>
      </c>
      <c r="M280" s="74"/>
      <c r="N280" s="74"/>
      <c r="O280" s="74"/>
      <c r="P280" s="74"/>
      <c r="Q280" s="74"/>
    </row>
    <row r="281" spans="1:17" s="71" customFormat="1" ht="13.5" thickBot="1">
      <c r="A281" s="71" t="s">
        <v>96</v>
      </c>
      <c r="B281" s="72">
        <v>12</v>
      </c>
      <c r="C281" s="72">
        <v>1</v>
      </c>
      <c r="D281" s="73">
        <v>1</v>
      </c>
      <c r="E281" s="73">
        <v>1</v>
      </c>
      <c r="F281" s="73">
        <v>7.08</v>
      </c>
      <c r="G281" s="73">
        <f t="shared" si="33"/>
        <v>7.08</v>
      </c>
      <c r="H281" s="73">
        <f t="shared" si="35"/>
        <v>0.59</v>
      </c>
      <c r="I281" s="30">
        <v>1</v>
      </c>
      <c r="J281" s="30"/>
      <c r="K281" s="30"/>
      <c r="L281" s="32">
        <f t="shared" si="34"/>
        <v>1</v>
      </c>
      <c r="M281" s="74"/>
      <c r="N281" s="74"/>
      <c r="O281" s="74"/>
      <c r="P281" s="74"/>
      <c r="Q281" s="74"/>
    </row>
    <row r="282" spans="1:17" s="71" customFormat="1" ht="13.5" thickBot="1">
      <c r="A282" s="71" t="s">
        <v>96</v>
      </c>
      <c r="B282" s="72">
        <v>12</v>
      </c>
      <c r="C282" s="72">
        <v>1</v>
      </c>
      <c r="D282" s="73">
        <v>1</v>
      </c>
      <c r="E282" s="73">
        <v>1</v>
      </c>
      <c r="F282" s="73">
        <v>7.27</v>
      </c>
      <c r="G282" s="73">
        <f t="shared" si="33"/>
        <v>7.27</v>
      </c>
      <c r="H282" s="73">
        <f t="shared" si="35"/>
        <v>0.60583333333333333</v>
      </c>
      <c r="I282" s="30">
        <v>1</v>
      </c>
      <c r="J282" s="30"/>
      <c r="K282" s="30"/>
      <c r="L282" s="32">
        <f t="shared" si="34"/>
        <v>1</v>
      </c>
      <c r="M282" s="74"/>
      <c r="N282" s="74"/>
      <c r="O282" s="74"/>
      <c r="P282" s="74"/>
      <c r="Q282" s="74"/>
    </row>
    <row r="283" spans="1:17" s="71" customFormat="1" ht="13.5" thickBot="1">
      <c r="A283" s="71" t="s">
        <v>97</v>
      </c>
      <c r="B283" s="72">
        <v>12</v>
      </c>
      <c r="C283" s="72">
        <v>1</v>
      </c>
      <c r="D283" s="73">
        <v>1</v>
      </c>
      <c r="E283" s="73">
        <v>2</v>
      </c>
      <c r="F283" s="73">
        <v>3.44</v>
      </c>
      <c r="G283" s="73">
        <f t="shared" si="33"/>
        <v>6.88</v>
      </c>
      <c r="H283" s="73">
        <f t="shared" si="35"/>
        <v>0.57333333333333336</v>
      </c>
      <c r="I283" s="30">
        <v>1</v>
      </c>
      <c r="J283" s="30"/>
      <c r="K283" s="30"/>
      <c r="L283" s="32">
        <f t="shared" si="34"/>
        <v>1</v>
      </c>
      <c r="M283" s="74"/>
      <c r="N283" s="74"/>
      <c r="O283" s="74"/>
      <c r="P283" s="74"/>
      <c r="Q283" s="74"/>
    </row>
    <row r="284" spans="1:17" s="71" customFormat="1" ht="13.5" thickBot="1">
      <c r="A284" s="71" t="s">
        <v>98</v>
      </c>
      <c r="B284" s="72">
        <v>12</v>
      </c>
      <c r="C284" s="72">
        <v>1</v>
      </c>
      <c r="D284" s="73">
        <v>1</v>
      </c>
      <c r="E284" s="73">
        <v>2</v>
      </c>
      <c r="F284" s="73">
        <v>3.63</v>
      </c>
      <c r="G284" s="73">
        <f t="shared" si="33"/>
        <v>7.26</v>
      </c>
      <c r="H284" s="73">
        <f t="shared" si="35"/>
        <v>0.60499999999999998</v>
      </c>
      <c r="I284" s="30">
        <v>1</v>
      </c>
      <c r="J284" s="30"/>
      <c r="K284" s="30"/>
      <c r="L284" s="32">
        <f t="shared" si="34"/>
        <v>1</v>
      </c>
      <c r="M284" s="74"/>
      <c r="N284" s="74"/>
      <c r="O284" s="74"/>
      <c r="P284" s="74"/>
      <c r="Q284" s="74"/>
    </row>
    <row r="285" spans="1:17" s="71" customFormat="1" ht="13.5" thickBot="1">
      <c r="A285" s="71" t="s">
        <v>98</v>
      </c>
      <c r="B285" s="72">
        <v>12</v>
      </c>
      <c r="C285" s="72">
        <v>1</v>
      </c>
      <c r="D285" s="73">
        <v>1</v>
      </c>
      <c r="E285" s="73">
        <v>1</v>
      </c>
      <c r="F285" s="73">
        <v>1.02</v>
      </c>
      <c r="G285" s="73">
        <f t="shared" si="33"/>
        <v>1.02</v>
      </c>
      <c r="H285" s="73">
        <f t="shared" si="35"/>
        <v>8.5000000000000006E-2</v>
      </c>
      <c r="I285" s="30">
        <v>1</v>
      </c>
      <c r="J285" s="30"/>
      <c r="K285" s="30"/>
      <c r="L285" s="32">
        <f t="shared" si="34"/>
        <v>1</v>
      </c>
      <c r="M285" s="74"/>
      <c r="N285" s="74"/>
      <c r="O285" s="74"/>
      <c r="P285" s="74"/>
      <c r="Q285" s="74"/>
    </row>
    <row r="286" spans="1:17" s="71" customFormat="1" ht="13.5" thickBot="1">
      <c r="A286" s="71" t="s">
        <v>99</v>
      </c>
      <c r="B286" s="72">
        <v>12</v>
      </c>
      <c r="C286" s="72">
        <v>1</v>
      </c>
      <c r="D286" s="73">
        <v>1</v>
      </c>
      <c r="E286" s="73">
        <v>2</v>
      </c>
      <c r="F286" s="73">
        <v>4</v>
      </c>
      <c r="G286" s="73">
        <f t="shared" si="33"/>
        <v>8</v>
      </c>
      <c r="H286" s="73">
        <f t="shared" si="35"/>
        <v>0.66666666666666663</v>
      </c>
      <c r="I286" s="30">
        <v>1</v>
      </c>
      <c r="J286" s="30"/>
      <c r="K286" s="30"/>
      <c r="L286" s="32">
        <f t="shared" si="34"/>
        <v>1</v>
      </c>
      <c r="M286" s="74"/>
      <c r="N286" s="74"/>
      <c r="O286" s="74"/>
      <c r="P286" s="74"/>
      <c r="Q286" s="74"/>
    </row>
    <row r="287" spans="1:17" s="71" customFormat="1" ht="13.5" thickBot="1">
      <c r="A287" s="71" t="s">
        <v>99</v>
      </c>
      <c r="B287" s="72">
        <v>12</v>
      </c>
      <c r="C287" s="72">
        <v>1</v>
      </c>
      <c r="D287" s="73">
        <v>1</v>
      </c>
      <c r="E287" s="73">
        <v>2</v>
      </c>
      <c r="F287" s="73">
        <v>4</v>
      </c>
      <c r="G287" s="73">
        <f t="shared" si="33"/>
        <v>8</v>
      </c>
      <c r="H287" s="73">
        <f t="shared" si="35"/>
        <v>0.66666666666666663</v>
      </c>
      <c r="I287" s="30">
        <v>1</v>
      </c>
      <c r="J287" s="30"/>
      <c r="K287" s="30"/>
      <c r="L287" s="32">
        <f t="shared" si="34"/>
        <v>1</v>
      </c>
      <c r="M287" s="74"/>
      <c r="N287" s="74"/>
      <c r="O287" s="74"/>
      <c r="P287" s="74"/>
      <c r="Q287" s="74"/>
    </row>
    <row r="288" spans="1:17" s="71" customFormat="1" ht="13.5" thickBot="1">
      <c r="A288" s="71" t="s">
        <v>100</v>
      </c>
      <c r="B288" s="72">
        <v>12</v>
      </c>
      <c r="C288" s="72">
        <v>1</v>
      </c>
      <c r="D288" s="73">
        <v>1</v>
      </c>
      <c r="E288" s="73">
        <v>2</v>
      </c>
      <c r="F288" s="73">
        <v>2.2599999999999998</v>
      </c>
      <c r="G288" s="73">
        <f t="shared" si="33"/>
        <v>4.5199999999999996</v>
      </c>
      <c r="H288" s="73">
        <f t="shared" si="35"/>
        <v>0.37666666666666665</v>
      </c>
      <c r="I288" s="30">
        <v>0</v>
      </c>
      <c r="J288" s="30"/>
      <c r="K288" s="30"/>
      <c r="L288" s="32">
        <f t="shared" si="34"/>
        <v>0</v>
      </c>
      <c r="M288" s="74"/>
      <c r="N288" s="74"/>
      <c r="O288" s="74"/>
      <c r="P288" s="74"/>
      <c r="Q288" s="74"/>
    </row>
    <row r="289" spans="1:26" s="71" customFormat="1" ht="13.5" thickBot="1">
      <c r="A289" s="71" t="s">
        <v>100</v>
      </c>
      <c r="B289" s="72">
        <v>12</v>
      </c>
      <c r="C289" s="72">
        <v>1</v>
      </c>
      <c r="D289" s="73">
        <v>1</v>
      </c>
      <c r="E289" s="73">
        <v>18</v>
      </c>
      <c r="F289" s="73">
        <v>1.38</v>
      </c>
      <c r="G289" s="73">
        <f t="shared" si="33"/>
        <v>24.839999999999996</v>
      </c>
      <c r="H289" s="73">
        <f t="shared" si="35"/>
        <v>2.0699999999999998</v>
      </c>
      <c r="I289" s="30">
        <v>2</v>
      </c>
      <c r="J289" s="30"/>
      <c r="K289" s="30"/>
      <c r="L289" s="32">
        <f t="shared" si="34"/>
        <v>2</v>
      </c>
      <c r="M289" s="74"/>
      <c r="N289" s="74"/>
      <c r="O289" s="74"/>
      <c r="P289" s="74"/>
      <c r="Q289" s="74"/>
    </row>
    <row r="290" spans="1:26" s="71" customFormat="1" ht="13.5" thickBot="1">
      <c r="A290" s="71">
        <v>401</v>
      </c>
      <c r="B290" s="72">
        <v>12</v>
      </c>
      <c r="C290" s="72">
        <v>1</v>
      </c>
      <c r="D290" s="73">
        <v>1</v>
      </c>
      <c r="E290" s="73">
        <v>12</v>
      </c>
      <c r="F290" s="73">
        <v>2.59</v>
      </c>
      <c r="G290" s="73">
        <f t="shared" si="33"/>
        <v>31.08</v>
      </c>
      <c r="H290" s="73">
        <f t="shared" si="35"/>
        <v>2.59</v>
      </c>
      <c r="I290" s="30">
        <v>3</v>
      </c>
      <c r="J290" s="30"/>
      <c r="K290" s="30"/>
      <c r="L290" s="32">
        <f t="shared" si="34"/>
        <v>3</v>
      </c>
      <c r="M290" s="74"/>
      <c r="N290" s="74"/>
      <c r="O290" s="74"/>
      <c r="P290" s="74"/>
      <c r="Q290" s="74"/>
    </row>
    <row r="291" spans="1:26" s="71" customFormat="1" ht="13.5" thickBot="1">
      <c r="A291" s="71">
        <v>401</v>
      </c>
      <c r="B291" s="72">
        <v>12</v>
      </c>
      <c r="C291" s="72">
        <v>1</v>
      </c>
      <c r="D291" s="73">
        <v>1</v>
      </c>
      <c r="E291" s="73">
        <v>15</v>
      </c>
      <c r="F291" s="73">
        <v>2.59</v>
      </c>
      <c r="G291" s="73">
        <f t="shared" si="33"/>
        <v>38.849999999999994</v>
      </c>
      <c r="H291" s="73">
        <f t="shared" si="35"/>
        <v>3.2374999999999994</v>
      </c>
      <c r="I291" s="30">
        <v>3</v>
      </c>
      <c r="J291" s="30"/>
      <c r="K291" s="30"/>
      <c r="L291" s="32">
        <f t="shared" si="34"/>
        <v>3</v>
      </c>
      <c r="M291" s="74"/>
      <c r="N291" s="74"/>
      <c r="O291" s="74"/>
      <c r="P291" s="74"/>
      <c r="Q291" s="74"/>
    </row>
    <row r="292" spans="1:26" s="71" customFormat="1" ht="13.5" thickBot="1">
      <c r="A292" s="71">
        <v>401</v>
      </c>
      <c r="B292" s="72">
        <v>12</v>
      </c>
      <c r="C292" s="72">
        <v>1</v>
      </c>
      <c r="D292" s="73">
        <v>1</v>
      </c>
      <c r="E292" s="73">
        <v>12</v>
      </c>
      <c r="F292" s="73">
        <v>1.6</v>
      </c>
      <c r="G292" s="73">
        <f t="shared" si="33"/>
        <v>19.200000000000003</v>
      </c>
      <c r="H292" s="73">
        <f t="shared" si="35"/>
        <v>1.6000000000000003</v>
      </c>
      <c r="I292" s="30">
        <v>2</v>
      </c>
      <c r="J292" s="30"/>
      <c r="K292" s="30"/>
      <c r="L292" s="32">
        <f t="shared" si="34"/>
        <v>2</v>
      </c>
      <c r="M292" s="74"/>
      <c r="N292" s="74"/>
      <c r="O292" s="74"/>
      <c r="P292" s="74"/>
      <c r="Q292" s="74"/>
    </row>
    <row r="293" spans="1:26" s="71" customFormat="1" ht="13.5" thickBot="1">
      <c r="A293" s="71">
        <v>401</v>
      </c>
      <c r="B293" s="72">
        <v>12</v>
      </c>
      <c r="C293" s="72">
        <v>1</v>
      </c>
      <c r="D293" s="73">
        <v>1</v>
      </c>
      <c r="E293" s="73">
        <v>15</v>
      </c>
      <c r="F293" s="73">
        <v>1.6</v>
      </c>
      <c r="G293" s="73">
        <f t="shared" si="33"/>
        <v>24</v>
      </c>
      <c r="H293" s="73">
        <f t="shared" si="35"/>
        <v>2</v>
      </c>
      <c r="I293" s="30">
        <v>2</v>
      </c>
      <c r="J293" s="30"/>
      <c r="K293" s="30"/>
      <c r="L293" s="32">
        <f t="shared" si="34"/>
        <v>2</v>
      </c>
      <c r="M293" s="74"/>
      <c r="N293" s="74"/>
      <c r="O293" s="74"/>
      <c r="P293" s="74"/>
      <c r="Q293" s="74"/>
    </row>
    <row r="294" spans="1:26" s="71" customFormat="1" ht="13.5" thickBot="1">
      <c r="A294" s="71">
        <v>401</v>
      </c>
      <c r="B294" s="72">
        <v>12</v>
      </c>
      <c r="C294" s="72">
        <v>1</v>
      </c>
      <c r="D294" s="73">
        <v>1</v>
      </c>
      <c r="E294" s="73">
        <v>12</v>
      </c>
      <c r="F294" s="73">
        <v>1.7</v>
      </c>
      <c r="G294" s="73">
        <f t="shared" si="33"/>
        <v>20.399999999999999</v>
      </c>
      <c r="H294" s="73">
        <f t="shared" si="35"/>
        <v>1.7</v>
      </c>
      <c r="I294" s="30">
        <v>2</v>
      </c>
      <c r="J294" s="30"/>
      <c r="K294" s="30"/>
      <c r="L294" s="32">
        <f t="shared" si="34"/>
        <v>2</v>
      </c>
      <c r="M294" s="74"/>
      <c r="N294" s="74"/>
      <c r="O294" s="74"/>
      <c r="P294" s="74"/>
      <c r="Q294" s="74"/>
    </row>
    <row r="295" spans="1:26" s="71" customFormat="1" ht="13.5" thickBot="1">
      <c r="A295" s="71">
        <v>401</v>
      </c>
      <c r="B295" s="72">
        <v>12</v>
      </c>
      <c r="C295" s="72">
        <v>1</v>
      </c>
      <c r="D295" s="73">
        <v>1</v>
      </c>
      <c r="E295" s="73">
        <v>15</v>
      </c>
      <c r="F295" s="73">
        <v>1.7</v>
      </c>
      <c r="G295" s="73">
        <f t="shared" si="33"/>
        <v>25.5</v>
      </c>
      <c r="H295" s="73">
        <f t="shared" si="35"/>
        <v>2.125</v>
      </c>
      <c r="I295" s="30">
        <v>2</v>
      </c>
      <c r="J295" s="30"/>
      <c r="K295" s="30"/>
      <c r="L295" s="32">
        <f t="shared" si="34"/>
        <v>2</v>
      </c>
      <c r="M295" s="74"/>
      <c r="N295" s="74"/>
      <c r="O295" s="74"/>
      <c r="P295" s="74"/>
      <c r="Q295" s="74"/>
    </row>
    <row r="296" spans="1:26" s="71" customFormat="1" ht="13.5" thickBot="1">
      <c r="A296" s="71" t="s">
        <v>89</v>
      </c>
      <c r="B296" s="72">
        <v>12</v>
      </c>
      <c r="C296" s="72">
        <v>1</v>
      </c>
      <c r="D296" s="73">
        <v>1</v>
      </c>
      <c r="E296" s="73">
        <v>8</v>
      </c>
      <c r="F296" s="73">
        <v>3.62</v>
      </c>
      <c r="G296" s="73">
        <f t="shared" si="33"/>
        <v>28.96</v>
      </c>
      <c r="H296" s="73">
        <f t="shared" si="35"/>
        <v>2.4133333333333336</v>
      </c>
      <c r="I296" s="30">
        <v>3</v>
      </c>
      <c r="J296" s="30"/>
      <c r="K296" s="30"/>
      <c r="L296" s="32">
        <f t="shared" si="34"/>
        <v>3</v>
      </c>
      <c r="M296" s="74"/>
      <c r="N296" s="74"/>
      <c r="O296" s="74"/>
      <c r="P296" s="74"/>
      <c r="Q296" s="74"/>
    </row>
    <row r="297" spans="1:26" s="71" customFormat="1" ht="13.5" thickBot="1">
      <c r="A297" s="71" t="s">
        <v>105</v>
      </c>
      <c r="B297" s="72">
        <v>12</v>
      </c>
      <c r="C297" s="72">
        <v>1</v>
      </c>
      <c r="D297" s="73">
        <v>1</v>
      </c>
      <c r="E297" s="73">
        <v>8</v>
      </c>
      <c r="F297" s="73">
        <v>3.45</v>
      </c>
      <c r="G297" s="73">
        <f t="shared" si="33"/>
        <v>27.6</v>
      </c>
      <c r="H297" s="73">
        <f t="shared" si="35"/>
        <v>2.3000000000000003</v>
      </c>
      <c r="I297" s="30">
        <v>2</v>
      </c>
      <c r="J297" s="30"/>
      <c r="K297" s="30"/>
      <c r="L297" s="32">
        <f t="shared" si="34"/>
        <v>2</v>
      </c>
      <c r="M297" s="74"/>
      <c r="N297" s="74"/>
      <c r="O297" s="74"/>
      <c r="P297" s="74"/>
      <c r="Q297" s="74"/>
    </row>
    <row r="298" spans="1:26" s="71" customFormat="1" ht="13.5" thickBot="1">
      <c r="A298" s="79" t="s">
        <v>106</v>
      </c>
      <c r="B298" s="80">
        <v>12</v>
      </c>
      <c r="C298" s="80">
        <v>3</v>
      </c>
      <c r="D298" s="81">
        <v>1</v>
      </c>
      <c r="E298" s="81">
        <f>4*3</f>
        <v>12</v>
      </c>
      <c r="F298" s="81">
        <v>3.62</v>
      </c>
      <c r="G298" s="81">
        <f t="shared" si="33"/>
        <v>43.44</v>
      </c>
      <c r="H298" s="81">
        <f t="shared" si="35"/>
        <v>3.6199999999999997</v>
      </c>
      <c r="I298" s="30">
        <v>4</v>
      </c>
      <c r="J298" s="79"/>
      <c r="K298" s="79"/>
      <c r="L298" s="32">
        <f t="shared" si="34"/>
        <v>4</v>
      </c>
      <c r="M298" s="74"/>
      <c r="N298" s="74"/>
      <c r="O298" s="74"/>
      <c r="P298" s="74"/>
      <c r="Q298" s="74"/>
    </row>
    <row r="299" spans="1:26" ht="18.75" thickBot="1">
      <c r="A299" s="2"/>
      <c r="B299" s="22">
        <v>12</v>
      </c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1">
        <v>12</v>
      </c>
      <c r="N299" s="12"/>
      <c r="O299" s="12"/>
      <c r="P299" s="12"/>
      <c r="Q299" s="13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12"/>
      <c r="O300" s="12"/>
      <c r="P300" s="12"/>
      <c r="Q300" s="13"/>
    </row>
    <row r="301" spans="1:26" ht="13.5" thickBot="1">
      <c r="N301" s="56"/>
      <c r="O301" s="56"/>
      <c r="P301" s="56"/>
      <c r="Q301" s="55"/>
    </row>
    <row r="302" spans="1:26" ht="13.5" thickBot="1">
      <c r="A302" s="2" t="s">
        <v>107</v>
      </c>
      <c r="B302" s="29">
        <v>16</v>
      </c>
      <c r="C302" s="30">
        <v>2</v>
      </c>
      <c r="D302" s="30">
        <v>1</v>
      </c>
      <c r="E302" s="30">
        <f>D302*C302</f>
        <v>2</v>
      </c>
      <c r="F302" s="31">
        <v>4.45</v>
      </c>
      <c r="G302" s="30">
        <f t="shared" ref="G302:G320" si="36">+F302*E302</f>
        <v>8.9</v>
      </c>
      <c r="H302" s="30">
        <f t="shared" ref="H302:H308" si="37">+G302/$G$2</f>
        <v>0.7416666666666667</v>
      </c>
      <c r="I302" s="30">
        <v>1</v>
      </c>
      <c r="J302" s="30"/>
      <c r="K302" s="30"/>
      <c r="L302" s="32">
        <f>I302</f>
        <v>1</v>
      </c>
      <c r="M302" s="20">
        <f>SUM(L302:L320)</f>
        <v>20</v>
      </c>
      <c r="N302" s="12">
        <v>3.5</v>
      </c>
      <c r="O302" s="12">
        <v>8</v>
      </c>
      <c r="P302" s="12">
        <f t="shared" ref="P302:P308" si="38">O302*N302</f>
        <v>28</v>
      </c>
      <c r="Q302" s="55"/>
    </row>
    <row r="303" spans="1:26" ht="13.5" thickBot="1">
      <c r="A303" s="2" t="s">
        <v>108</v>
      </c>
      <c r="B303" s="29">
        <v>16</v>
      </c>
      <c r="C303" s="30">
        <v>2</v>
      </c>
      <c r="D303" s="30">
        <v>1</v>
      </c>
      <c r="E303" s="30">
        <v>2</v>
      </c>
      <c r="F303" s="31">
        <v>7.3</v>
      </c>
      <c r="G303" s="30">
        <f t="shared" si="36"/>
        <v>14.6</v>
      </c>
      <c r="H303" s="30">
        <f t="shared" si="37"/>
        <v>1.2166666666666666</v>
      </c>
      <c r="I303" s="30">
        <v>1</v>
      </c>
      <c r="J303" s="30"/>
      <c r="K303" s="30"/>
      <c r="L303" s="32">
        <f t="shared" ref="L303:L320" si="39">I303</f>
        <v>1</v>
      </c>
      <c r="N303" s="12">
        <v>1.1000000000000001</v>
      </c>
      <c r="O303" s="12">
        <v>4</v>
      </c>
      <c r="P303" s="12">
        <f t="shared" si="38"/>
        <v>4.4000000000000004</v>
      </c>
      <c r="Q303" s="55"/>
    </row>
    <row r="304" spans="1:26" s="2" customFormat="1" ht="13.5" thickBot="1">
      <c r="A304" s="2" t="s">
        <v>108</v>
      </c>
      <c r="B304" s="29">
        <v>16</v>
      </c>
      <c r="C304" s="30">
        <v>1</v>
      </c>
      <c r="D304" s="30">
        <v>1</v>
      </c>
      <c r="E304" s="30">
        <v>1</v>
      </c>
      <c r="F304" s="31">
        <v>1.5</v>
      </c>
      <c r="G304" s="30">
        <f t="shared" si="36"/>
        <v>1.5</v>
      </c>
      <c r="H304" s="30">
        <f t="shared" si="37"/>
        <v>0.125</v>
      </c>
      <c r="I304" s="30">
        <v>0</v>
      </c>
      <c r="J304" s="30"/>
      <c r="K304" s="30"/>
      <c r="L304" s="32">
        <f t="shared" si="39"/>
        <v>0</v>
      </c>
      <c r="M304" s="13"/>
      <c r="N304" s="12">
        <v>3.1</v>
      </c>
      <c r="O304" s="12">
        <v>4</v>
      </c>
      <c r="P304" s="12">
        <f t="shared" si="38"/>
        <v>12.4</v>
      </c>
      <c r="Q304" s="55"/>
      <c r="R304" s="12"/>
      <c r="S304" s="12"/>
      <c r="T304" s="12"/>
      <c r="U304" s="12"/>
      <c r="V304" s="1">
        <f>12-J304*F304</f>
        <v>12</v>
      </c>
      <c r="W304" s="1">
        <f>+L304*V304</f>
        <v>0</v>
      </c>
      <c r="X304" s="1">
        <f>+L304-H304</f>
        <v>-0.125</v>
      </c>
      <c r="Y304" s="1">
        <f>+X304*$G$2</f>
        <v>-1.5</v>
      </c>
      <c r="Z304" s="2">
        <f>+Y304/$Z$3</f>
        <v>-0.125</v>
      </c>
    </row>
    <row r="305" spans="1:25" ht="13.5" thickBot="1">
      <c r="A305" s="2" t="s">
        <v>111</v>
      </c>
      <c r="B305" s="29">
        <v>16</v>
      </c>
      <c r="C305" s="30">
        <v>2</v>
      </c>
      <c r="D305" s="30">
        <v>1</v>
      </c>
      <c r="E305" s="30">
        <v>2</v>
      </c>
      <c r="F305" s="31">
        <v>6.8</v>
      </c>
      <c r="G305" s="30">
        <f t="shared" si="36"/>
        <v>13.6</v>
      </c>
      <c r="H305" s="30">
        <f t="shared" si="37"/>
        <v>1.1333333333333333</v>
      </c>
      <c r="I305" s="30">
        <v>2</v>
      </c>
      <c r="J305" s="30"/>
      <c r="K305" s="30"/>
      <c r="L305" s="32">
        <f t="shared" si="39"/>
        <v>2</v>
      </c>
      <c r="N305" s="12">
        <v>1.4</v>
      </c>
      <c r="O305" s="12">
        <v>13</v>
      </c>
      <c r="P305" s="12">
        <f t="shared" si="38"/>
        <v>18.2</v>
      </c>
      <c r="Q305" s="55"/>
    </row>
    <row r="306" spans="1:25" ht="13.5" thickBot="1">
      <c r="A306" s="2" t="s">
        <v>57</v>
      </c>
      <c r="B306" s="29">
        <v>16</v>
      </c>
      <c r="C306" s="30">
        <v>2</v>
      </c>
      <c r="D306" s="30">
        <v>1</v>
      </c>
      <c r="E306" s="30">
        <v>2</v>
      </c>
      <c r="F306" s="31">
        <v>3.25</v>
      </c>
      <c r="G306" s="30">
        <f t="shared" si="36"/>
        <v>6.5</v>
      </c>
      <c r="H306" s="30">
        <f t="shared" si="37"/>
        <v>0.54166666666666663</v>
      </c>
      <c r="I306" s="30">
        <v>1</v>
      </c>
      <c r="J306" s="30"/>
      <c r="K306" s="30"/>
      <c r="L306" s="32">
        <f t="shared" si="39"/>
        <v>1</v>
      </c>
      <c r="N306" s="12">
        <v>1.4</v>
      </c>
      <c r="O306" s="12">
        <v>13</v>
      </c>
      <c r="P306" s="12">
        <f t="shared" si="38"/>
        <v>18.2</v>
      </c>
      <c r="Q306" s="55"/>
    </row>
    <row r="307" spans="1:25" ht="13.5" thickBot="1">
      <c r="A307" s="2" t="s">
        <v>57</v>
      </c>
      <c r="B307" s="29">
        <v>16</v>
      </c>
      <c r="C307" s="30">
        <v>3</v>
      </c>
      <c r="D307" s="30">
        <v>1</v>
      </c>
      <c r="E307" s="30">
        <v>3</v>
      </c>
      <c r="F307" s="31">
        <v>4.2</v>
      </c>
      <c r="G307" s="30">
        <f t="shared" si="36"/>
        <v>12.600000000000001</v>
      </c>
      <c r="H307" s="30">
        <f t="shared" si="37"/>
        <v>1.05</v>
      </c>
      <c r="I307" s="30">
        <v>1</v>
      </c>
      <c r="J307" s="30"/>
      <c r="K307" s="30"/>
      <c r="L307" s="32">
        <f t="shared" si="39"/>
        <v>1</v>
      </c>
      <c r="N307" s="12">
        <v>1.4</v>
      </c>
      <c r="O307" s="12">
        <v>13</v>
      </c>
      <c r="P307" s="12">
        <f t="shared" si="38"/>
        <v>18.2</v>
      </c>
      <c r="Q307" s="55"/>
    </row>
    <row r="308" spans="1:25" ht="13.5" thickBot="1">
      <c r="A308" s="2" t="s">
        <v>61</v>
      </c>
      <c r="B308" s="29">
        <v>16</v>
      </c>
      <c r="C308" s="30">
        <v>2</v>
      </c>
      <c r="D308" s="30">
        <v>1</v>
      </c>
      <c r="E308" s="30">
        <v>3</v>
      </c>
      <c r="F308" s="31">
        <v>7.25</v>
      </c>
      <c r="G308" s="30">
        <f t="shared" si="36"/>
        <v>21.75</v>
      </c>
      <c r="H308" s="30">
        <f t="shared" si="37"/>
        <v>1.8125</v>
      </c>
      <c r="I308" s="30">
        <v>2</v>
      </c>
      <c r="J308" s="30"/>
      <c r="K308" s="30"/>
      <c r="L308" s="32">
        <f t="shared" si="39"/>
        <v>2</v>
      </c>
      <c r="N308" s="12">
        <v>1.4</v>
      </c>
      <c r="O308" s="12">
        <v>13</v>
      </c>
      <c r="P308" s="12">
        <f t="shared" si="38"/>
        <v>18.2</v>
      </c>
      <c r="Q308" s="55"/>
    </row>
    <row r="309" spans="1:25" s="2" customFormat="1" ht="13.5" thickBot="1">
      <c r="A309" s="62" t="s">
        <v>74</v>
      </c>
      <c r="B309" s="63">
        <v>16</v>
      </c>
      <c r="C309" s="63">
        <v>1</v>
      </c>
      <c r="D309" s="64">
        <v>1</v>
      </c>
      <c r="E309" s="64">
        <v>2</v>
      </c>
      <c r="F309" s="31">
        <v>6.8</v>
      </c>
      <c r="G309" s="64">
        <f t="shared" si="36"/>
        <v>13.6</v>
      </c>
      <c r="H309" s="64">
        <f t="shared" ref="H309:H320" si="40">+G309/$G$2</f>
        <v>1.1333333333333333</v>
      </c>
      <c r="I309" s="30">
        <v>2</v>
      </c>
      <c r="J309" s="30"/>
      <c r="K309" s="30"/>
      <c r="L309" s="32">
        <f t="shared" si="39"/>
        <v>2</v>
      </c>
      <c r="M309" s="13"/>
      <c r="N309" s="13"/>
      <c r="O309" s="13"/>
      <c r="P309" s="13"/>
      <c r="Q309" s="13"/>
      <c r="R309" s="12"/>
      <c r="S309" s="12"/>
      <c r="T309" s="12"/>
      <c r="U309" s="12"/>
      <c r="V309" s="1"/>
      <c r="W309" s="1"/>
      <c r="X309" s="1"/>
      <c r="Y309" s="1"/>
    </row>
    <row r="310" spans="1:25" s="2" customFormat="1" ht="13.5" thickBot="1">
      <c r="A310" s="62" t="s">
        <v>76</v>
      </c>
      <c r="B310" s="63">
        <v>16</v>
      </c>
      <c r="C310" s="63">
        <v>1</v>
      </c>
      <c r="D310" s="64">
        <v>1</v>
      </c>
      <c r="E310" s="64">
        <v>2</v>
      </c>
      <c r="F310" s="31">
        <v>2.4</v>
      </c>
      <c r="G310" s="64">
        <f t="shared" si="36"/>
        <v>4.8</v>
      </c>
      <c r="H310" s="64">
        <f t="shared" si="40"/>
        <v>0.39999999999999997</v>
      </c>
      <c r="I310" s="30">
        <v>0</v>
      </c>
      <c r="J310" s="30"/>
      <c r="K310" s="30"/>
      <c r="L310" s="32">
        <f t="shared" si="39"/>
        <v>0</v>
      </c>
      <c r="M310" s="13"/>
      <c r="N310" s="13"/>
      <c r="O310" s="13"/>
      <c r="P310" s="13"/>
      <c r="Q310" s="13"/>
      <c r="R310" s="12"/>
      <c r="S310" s="12"/>
      <c r="T310" s="12"/>
      <c r="U310" s="12"/>
      <c r="V310" s="1"/>
      <c r="W310" s="1"/>
      <c r="X310" s="1"/>
      <c r="Y310" s="1"/>
    </row>
    <row r="311" spans="1:25" s="2" customFormat="1" ht="13.5" thickBot="1">
      <c r="A311" s="62" t="s">
        <v>79</v>
      </c>
      <c r="B311" s="63">
        <v>16</v>
      </c>
      <c r="C311" s="63">
        <v>1</v>
      </c>
      <c r="D311" s="64">
        <v>1</v>
      </c>
      <c r="E311" s="64">
        <v>2</v>
      </c>
      <c r="F311" s="31">
        <v>2.4</v>
      </c>
      <c r="G311" s="64">
        <f t="shared" si="36"/>
        <v>4.8</v>
      </c>
      <c r="H311" s="64">
        <f t="shared" si="40"/>
        <v>0.39999999999999997</v>
      </c>
      <c r="I311" s="30">
        <v>1</v>
      </c>
      <c r="J311" s="30"/>
      <c r="K311" s="30"/>
      <c r="L311" s="32">
        <f t="shared" si="39"/>
        <v>1</v>
      </c>
      <c r="M311" s="13"/>
      <c r="N311" s="13"/>
      <c r="O311" s="13"/>
      <c r="P311" s="13"/>
      <c r="Q311" s="13"/>
      <c r="R311" s="12"/>
      <c r="S311" s="12"/>
      <c r="T311" s="12"/>
      <c r="U311" s="12"/>
      <c r="V311" s="1"/>
      <c r="W311" s="1"/>
      <c r="X311" s="1"/>
      <c r="Y311" s="1"/>
    </row>
    <row r="312" spans="1:25" s="2" customFormat="1" ht="13.5" thickBot="1">
      <c r="A312" s="62" t="s">
        <v>80</v>
      </c>
      <c r="B312" s="63">
        <v>16</v>
      </c>
      <c r="C312" s="63">
        <v>1</v>
      </c>
      <c r="D312" s="64">
        <v>1</v>
      </c>
      <c r="E312" s="64">
        <v>2</v>
      </c>
      <c r="F312" s="31">
        <v>7.25</v>
      </c>
      <c r="G312" s="64">
        <f t="shared" si="36"/>
        <v>14.5</v>
      </c>
      <c r="H312" s="64">
        <f t="shared" si="40"/>
        <v>1.2083333333333333</v>
      </c>
      <c r="I312" s="30">
        <v>2</v>
      </c>
      <c r="J312" s="30"/>
      <c r="K312" s="30"/>
      <c r="L312" s="32">
        <f t="shared" si="39"/>
        <v>2</v>
      </c>
      <c r="M312" s="13"/>
      <c r="N312" s="13"/>
      <c r="O312" s="13"/>
      <c r="P312" s="13"/>
      <c r="Q312" s="13"/>
      <c r="R312" s="12"/>
      <c r="S312" s="12"/>
      <c r="T312" s="12"/>
      <c r="U312" s="12"/>
      <c r="V312" s="1"/>
      <c r="W312" s="1"/>
      <c r="X312" s="1"/>
      <c r="Y312" s="1"/>
    </row>
    <row r="313" spans="1:25" s="24" customFormat="1" ht="13.5" thickBot="1">
      <c r="A313" s="24" t="s">
        <v>85</v>
      </c>
      <c r="B313" s="27">
        <v>16</v>
      </c>
      <c r="C313" s="27">
        <v>1</v>
      </c>
      <c r="D313" s="69">
        <v>1</v>
      </c>
      <c r="E313" s="69">
        <v>2</v>
      </c>
      <c r="F313" s="69">
        <v>7.25</v>
      </c>
      <c r="G313" s="69">
        <f t="shared" si="36"/>
        <v>14.5</v>
      </c>
      <c r="H313" s="69">
        <f t="shared" si="40"/>
        <v>1.2083333333333333</v>
      </c>
      <c r="I313" s="30">
        <v>2</v>
      </c>
      <c r="J313" s="30"/>
      <c r="K313" s="30"/>
      <c r="L313" s="32">
        <f t="shared" si="39"/>
        <v>2</v>
      </c>
      <c r="M313" s="68"/>
      <c r="N313" s="68"/>
      <c r="O313" s="68"/>
      <c r="P313" s="68"/>
      <c r="Q313" s="68"/>
    </row>
    <row r="314" spans="1:25" s="71" customFormat="1" ht="13.5" thickBot="1">
      <c r="A314" s="71" t="s">
        <v>92</v>
      </c>
      <c r="B314" s="72">
        <v>16</v>
      </c>
      <c r="C314" s="72">
        <v>1</v>
      </c>
      <c r="D314" s="73">
        <v>1</v>
      </c>
      <c r="E314" s="73">
        <v>1</v>
      </c>
      <c r="F314" s="73">
        <v>3</v>
      </c>
      <c r="G314" s="73">
        <f t="shared" si="36"/>
        <v>3</v>
      </c>
      <c r="H314" s="73">
        <f t="shared" si="40"/>
        <v>0.25</v>
      </c>
      <c r="I314" s="30">
        <v>0</v>
      </c>
      <c r="J314" s="30"/>
      <c r="K314" s="30"/>
      <c r="L314" s="32">
        <f t="shared" si="39"/>
        <v>0</v>
      </c>
      <c r="M314" s="74"/>
      <c r="N314" s="74"/>
      <c r="O314" s="74"/>
      <c r="P314" s="74"/>
      <c r="Q314" s="74"/>
    </row>
    <row r="315" spans="1:25" s="71" customFormat="1" ht="13.5" thickBot="1">
      <c r="A315" s="71" t="s">
        <v>92</v>
      </c>
      <c r="B315" s="72">
        <v>16</v>
      </c>
      <c r="C315" s="72">
        <v>1</v>
      </c>
      <c r="D315" s="73">
        <v>1</v>
      </c>
      <c r="E315" s="73">
        <v>2</v>
      </c>
      <c r="F315" s="73">
        <v>5.37</v>
      </c>
      <c r="G315" s="73">
        <f t="shared" si="36"/>
        <v>10.74</v>
      </c>
      <c r="H315" s="73">
        <f t="shared" si="40"/>
        <v>0.89500000000000002</v>
      </c>
      <c r="I315" s="30">
        <v>1</v>
      </c>
      <c r="J315" s="30"/>
      <c r="K315" s="30"/>
      <c r="L315" s="32">
        <f t="shared" si="39"/>
        <v>1</v>
      </c>
      <c r="M315" s="74"/>
      <c r="N315" s="74"/>
      <c r="O315" s="74"/>
      <c r="P315" s="74"/>
      <c r="Q315" s="74"/>
    </row>
    <row r="316" spans="1:25" s="71" customFormat="1" ht="13.5" thickBot="1">
      <c r="A316" s="71" t="s">
        <v>96</v>
      </c>
      <c r="B316" s="72">
        <v>16</v>
      </c>
      <c r="C316" s="72">
        <v>1</v>
      </c>
      <c r="D316" s="73">
        <v>1</v>
      </c>
      <c r="E316" s="73">
        <v>2</v>
      </c>
      <c r="F316" s="73">
        <v>7.08</v>
      </c>
      <c r="G316" s="73">
        <f t="shared" si="36"/>
        <v>14.16</v>
      </c>
      <c r="H316" s="73">
        <f t="shared" si="40"/>
        <v>1.18</v>
      </c>
      <c r="I316" s="30">
        <v>1</v>
      </c>
      <c r="J316" s="30"/>
      <c r="K316" s="30"/>
      <c r="L316" s="32">
        <f t="shared" si="39"/>
        <v>1</v>
      </c>
      <c r="M316" s="74"/>
      <c r="N316" s="74"/>
      <c r="O316" s="74"/>
      <c r="P316" s="74"/>
      <c r="Q316" s="74"/>
    </row>
    <row r="317" spans="1:25" s="71" customFormat="1" ht="13.5" thickBot="1">
      <c r="A317" s="71" t="s">
        <v>96</v>
      </c>
      <c r="B317" s="72">
        <v>16</v>
      </c>
      <c r="C317" s="72">
        <v>1</v>
      </c>
      <c r="D317" s="73">
        <v>1</v>
      </c>
      <c r="E317" s="73">
        <v>2</v>
      </c>
      <c r="F317" s="73">
        <v>7.27</v>
      </c>
      <c r="G317" s="73">
        <f t="shared" si="36"/>
        <v>14.54</v>
      </c>
      <c r="H317" s="73">
        <f t="shared" si="40"/>
        <v>1.2116666666666667</v>
      </c>
      <c r="I317" s="30">
        <v>1</v>
      </c>
      <c r="J317" s="30"/>
      <c r="K317" s="30"/>
      <c r="L317" s="32">
        <f t="shared" si="39"/>
        <v>1</v>
      </c>
      <c r="M317" s="74"/>
      <c r="N317" s="74"/>
      <c r="O317" s="74"/>
      <c r="P317" s="74"/>
      <c r="Q317" s="74"/>
    </row>
    <row r="318" spans="1:25" s="71" customFormat="1" ht="13.5" thickBot="1">
      <c r="A318" s="71" t="s">
        <v>120</v>
      </c>
      <c r="B318" s="72">
        <v>16</v>
      </c>
      <c r="C318" s="72">
        <v>1</v>
      </c>
      <c r="D318" s="73">
        <v>1</v>
      </c>
      <c r="E318" s="73">
        <v>2</v>
      </c>
      <c r="F318" s="73">
        <v>4.32</v>
      </c>
      <c r="G318" s="73">
        <f t="shared" si="36"/>
        <v>8.64</v>
      </c>
      <c r="H318" s="73">
        <f t="shared" si="40"/>
        <v>0.72000000000000008</v>
      </c>
      <c r="I318" s="30">
        <v>1</v>
      </c>
      <c r="J318" s="30"/>
      <c r="K318" s="30"/>
      <c r="L318" s="32">
        <f t="shared" si="39"/>
        <v>1</v>
      </c>
      <c r="M318" s="74"/>
      <c r="N318" s="74"/>
      <c r="O318" s="74"/>
      <c r="P318" s="74"/>
      <c r="Q318" s="74"/>
    </row>
    <row r="319" spans="1:25" s="71" customFormat="1" ht="13.5" thickBot="1">
      <c r="A319" s="71" t="s">
        <v>120</v>
      </c>
      <c r="B319" s="72">
        <v>16</v>
      </c>
      <c r="C319" s="72">
        <v>1</v>
      </c>
      <c r="D319" s="73">
        <v>1</v>
      </c>
      <c r="E319" s="73">
        <v>1</v>
      </c>
      <c r="F319" s="73">
        <v>3.36</v>
      </c>
      <c r="G319" s="73">
        <f t="shared" si="36"/>
        <v>3.36</v>
      </c>
      <c r="H319" s="73">
        <f t="shared" si="40"/>
        <v>0.27999999999999997</v>
      </c>
      <c r="I319" s="30">
        <v>0</v>
      </c>
      <c r="J319" s="30"/>
      <c r="K319" s="30"/>
      <c r="L319" s="32">
        <f t="shared" si="39"/>
        <v>0</v>
      </c>
      <c r="M319" s="74"/>
      <c r="N319" s="74"/>
      <c r="O319" s="74"/>
      <c r="P319" s="74"/>
      <c r="Q319" s="74"/>
    </row>
    <row r="320" spans="1:25" s="71" customFormat="1">
      <c r="A320" s="71" t="s">
        <v>120</v>
      </c>
      <c r="B320" s="72">
        <v>16</v>
      </c>
      <c r="C320" s="72">
        <v>1</v>
      </c>
      <c r="D320" s="73">
        <v>1</v>
      </c>
      <c r="E320" s="73">
        <v>2</v>
      </c>
      <c r="F320" s="73">
        <v>2.4</v>
      </c>
      <c r="G320" s="73">
        <f t="shared" si="36"/>
        <v>4.8</v>
      </c>
      <c r="H320" s="73">
        <f t="shared" si="40"/>
        <v>0.39999999999999997</v>
      </c>
      <c r="I320" s="30">
        <v>1</v>
      </c>
      <c r="J320" s="30"/>
      <c r="K320" s="30"/>
      <c r="L320" s="32">
        <f t="shared" si="39"/>
        <v>1</v>
      </c>
      <c r="M320" s="74"/>
      <c r="N320" s="74"/>
      <c r="O320" s="74"/>
      <c r="P320" s="74"/>
      <c r="Q320" s="74"/>
    </row>
    <row r="321" spans="1:26" ht="13.5" thickBot="1">
      <c r="A321" s="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N321" s="12"/>
      <c r="O321" s="12"/>
      <c r="P321" s="12"/>
      <c r="Q321" s="56"/>
    </row>
    <row r="322" spans="1:26" ht="18.75" thickBot="1">
      <c r="A322" s="2"/>
      <c r="B322" s="22">
        <v>16</v>
      </c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1">
        <v>36</v>
      </c>
      <c r="N322" s="12"/>
      <c r="O322" s="12"/>
      <c r="P322" s="12"/>
      <c r="Q322" s="13"/>
    </row>
    <row r="323" spans="1:26" ht="13.5" thickBot="1">
      <c r="N323" s="56"/>
      <c r="O323" s="56"/>
      <c r="P323" s="56"/>
      <c r="Q323" s="56"/>
    </row>
    <row r="324" spans="1:26" s="2" customFormat="1" ht="13.5" thickBot="1">
      <c r="A324" s="2" t="s">
        <v>107</v>
      </c>
      <c r="B324" s="29">
        <v>20</v>
      </c>
      <c r="C324" s="30">
        <v>1</v>
      </c>
      <c r="D324" s="30">
        <v>1</v>
      </c>
      <c r="E324" s="30">
        <f>+C324*D324</f>
        <v>1</v>
      </c>
      <c r="F324" s="31">
        <f>1.2+0.75+1.2</f>
        <v>3.15</v>
      </c>
      <c r="G324" s="30">
        <f>+F324*E324</f>
        <v>3.15</v>
      </c>
      <c r="H324" s="30">
        <f>+G324/$G$2</f>
        <v>0.26250000000000001</v>
      </c>
      <c r="I324" s="30">
        <v>1</v>
      </c>
      <c r="J324" s="30"/>
      <c r="K324" s="30"/>
      <c r="L324" s="32">
        <f>I324</f>
        <v>1</v>
      </c>
      <c r="M324" s="20">
        <f>SUM(L324:L332)</f>
        <v>3</v>
      </c>
      <c r="N324" s="12">
        <v>3.1</v>
      </c>
      <c r="O324" s="12">
        <v>3</v>
      </c>
      <c r="P324" s="12">
        <f>O324*N324</f>
        <v>9.3000000000000007</v>
      </c>
      <c r="Q324" s="12"/>
      <c r="R324" s="12"/>
      <c r="S324" s="12"/>
      <c r="T324" s="12"/>
      <c r="U324" s="12"/>
      <c r="V324" s="2">
        <f>+L324*12/F324-E324</f>
        <v>2.8095238095238098</v>
      </c>
      <c r="W324" s="2">
        <f>+V324*F324</f>
        <v>8.85</v>
      </c>
      <c r="X324" s="2">
        <f>+L324-H324</f>
        <v>0.73750000000000004</v>
      </c>
      <c r="Y324" s="2">
        <f>+X324*$G$2</f>
        <v>8.8500000000000014</v>
      </c>
      <c r="Z324" s="2">
        <f>+Y324/$Z$3</f>
        <v>0.73750000000000016</v>
      </c>
    </row>
    <row r="325" spans="1:26" ht="13.5" thickBot="1">
      <c r="A325" s="2" t="s">
        <v>60</v>
      </c>
      <c r="B325" s="29">
        <v>20</v>
      </c>
      <c r="C325" s="30">
        <v>2</v>
      </c>
      <c r="D325" s="30">
        <v>1</v>
      </c>
      <c r="E325" s="30">
        <f>+C325*D325</f>
        <v>2</v>
      </c>
      <c r="F325" s="31">
        <v>4.4000000000000004</v>
      </c>
      <c r="G325" s="30">
        <f>+F325*E325</f>
        <v>8.8000000000000007</v>
      </c>
      <c r="H325" s="30">
        <f>+G325/$G$2</f>
        <v>0.73333333333333339</v>
      </c>
      <c r="I325" s="30"/>
      <c r="J325" s="30"/>
      <c r="K325" s="30"/>
      <c r="L325" s="32">
        <f t="shared" ref="L325:L332" si="41">I325</f>
        <v>0</v>
      </c>
    </row>
    <row r="326" spans="1:26" s="2" customFormat="1" ht="13.5" thickBot="1">
      <c r="B326" s="29"/>
      <c r="C326" s="30"/>
      <c r="D326" s="30"/>
      <c r="E326" s="30"/>
      <c r="F326" s="31"/>
      <c r="G326" s="30"/>
      <c r="H326" s="30"/>
      <c r="I326" s="30">
        <v>0</v>
      </c>
      <c r="J326" s="30"/>
      <c r="K326" s="30"/>
      <c r="L326" s="32">
        <f t="shared" si="41"/>
        <v>0</v>
      </c>
      <c r="M326" s="12"/>
      <c r="N326" s="54"/>
      <c r="O326" s="54"/>
      <c r="P326" s="54">
        <f>O326*N326</f>
        <v>0</v>
      </c>
      <c r="Q326" s="12"/>
      <c r="R326" s="12"/>
      <c r="S326" s="12"/>
      <c r="T326" s="12"/>
      <c r="U326" s="12"/>
      <c r="V326" s="2" t="e">
        <f>+L326*12/F326-E326</f>
        <v>#DIV/0!</v>
      </c>
      <c r="W326" s="2" t="e">
        <f>+V326*F326</f>
        <v>#DIV/0!</v>
      </c>
      <c r="X326" s="2">
        <f>+L326-H326</f>
        <v>0</v>
      </c>
      <c r="Y326" s="2">
        <f>+X326*$G$2</f>
        <v>0</v>
      </c>
      <c r="Z326" s="2">
        <f>+Y326/$Z$3</f>
        <v>0</v>
      </c>
    </row>
    <row r="327" spans="1:26" s="2" customFormat="1" ht="13.5" thickBot="1">
      <c r="B327" s="29"/>
      <c r="C327" s="30"/>
      <c r="D327" s="30"/>
      <c r="E327" s="30"/>
      <c r="F327" s="31"/>
      <c r="G327" s="30"/>
      <c r="H327" s="30"/>
      <c r="I327" s="30">
        <v>0</v>
      </c>
      <c r="J327" s="30"/>
      <c r="K327" s="30"/>
      <c r="L327" s="32">
        <f t="shared" si="41"/>
        <v>0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2" t="e">
        <f>+L327*12/F327-E327</f>
        <v>#DIV/0!</v>
      </c>
      <c r="W327" s="2" t="e">
        <f>+V327*F327</f>
        <v>#DIV/0!</v>
      </c>
      <c r="X327" s="2">
        <f>+L327-H327</f>
        <v>0</v>
      </c>
      <c r="Y327" s="2">
        <f>+X327*$G$2</f>
        <v>0</v>
      </c>
      <c r="Z327" s="2">
        <f>+Y327/$Z$3</f>
        <v>0</v>
      </c>
    </row>
    <row r="328" spans="1:26" s="2" customFormat="1" ht="13.5" thickBot="1">
      <c r="B328" s="29"/>
      <c r="C328" s="30"/>
      <c r="D328" s="30"/>
      <c r="E328" s="30"/>
      <c r="F328" s="31"/>
      <c r="G328" s="30"/>
      <c r="H328" s="30"/>
      <c r="I328" s="30">
        <v>0</v>
      </c>
      <c r="J328" s="30"/>
      <c r="K328" s="30"/>
      <c r="L328" s="32">
        <f t="shared" si="41"/>
        <v>0</v>
      </c>
      <c r="M328" s="12"/>
      <c r="N328" s="12"/>
      <c r="O328" s="12"/>
      <c r="P328" s="12">
        <f>O328*N328</f>
        <v>0</v>
      </c>
      <c r="Q328" s="12"/>
      <c r="R328" s="12"/>
      <c r="S328" s="12"/>
      <c r="T328" s="12"/>
      <c r="U328" s="12"/>
      <c r="V328" s="2" t="e">
        <f>+L328*12/F328-E328</f>
        <v>#DIV/0!</v>
      </c>
      <c r="W328" s="2" t="e">
        <f>+V328*F328</f>
        <v>#DIV/0!</v>
      </c>
      <c r="X328" s="2">
        <f>+L328-H328</f>
        <v>0</v>
      </c>
      <c r="Y328" s="2">
        <f>+X328*$G$2</f>
        <v>0</v>
      </c>
      <c r="Z328" s="2">
        <f>+Y328/$Z$3</f>
        <v>0</v>
      </c>
    </row>
    <row r="329" spans="1:26" s="2" customFormat="1" ht="13.5" thickBot="1">
      <c r="A329" s="62" t="s">
        <v>68</v>
      </c>
      <c r="B329" s="63">
        <v>20</v>
      </c>
      <c r="C329" s="63">
        <v>1</v>
      </c>
      <c r="D329" s="64">
        <v>1</v>
      </c>
      <c r="E329" s="64">
        <v>1</v>
      </c>
      <c r="F329" s="31">
        <v>3.15</v>
      </c>
      <c r="G329" s="64">
        <f>+F329*E329</f>
        <v>3.15</v>
      </c>
      <c r="H329" s="64">
        <f>+G329/$G$2</f>
        <v>0.26250000000000001</v>
      </c>
      <c r="I329" s="30">
        <v>0</v>
      </c>
      <c r="J329" s="30"/>
      <c r="K329" s="30"/>
      <c r="L329" s="32">
        <f t="shared" si="41"/>
        <v>0</v>
      </c>
      <c r="M329" s="13"/>
      <c r="N329" s="13"/>
      <c r="O329" s="13"/>
      <c r="P329" s="13"/>
      <c r="Q329" s="13"/>
      <c r="R329" s="12"/>
      <c r="S329" s="12"/>
      <c r="T329" s="12"/>
      <c r="U329" s="12"/>
      <c r="V329" s="1"/>
      <c r="W329" s="1"/>
      <c r="X329" s="1"/>
      <c r="Y329" s="1"/>
    </row>
    <row r="330" spans="1:26" s="2" customFormat="1" ht="13.5" thickBot="1">
      <c r="A330" s="62" t="s">
        <v>68</v>
      </c>
      <c r="B330" s="63">
        <v>20</v>
      </c>
      <c r="C330" s="63">
        <v>2</v>
      </c>
      <c r="D330" s="64">
        <v>1</v>
      </c>
      <c r="E330" s="64">
        <v>2</v>
      </c>
      <c r="F330" s="31">
        <v>4.53</v>
      </c>
      <c r="G330" s="64">
        <f>+F330*E330</f>
        <v>9.06</v>
      </c>
      <c r="H330" s="64">
        <f>+G330/$G$2</f>
        <v>0.755</v>
      </c>
      <c r="I330" s="30">
        <v>1</v>
      </c>
      <c r="J330" s="30"/>
      <c r="K330" s="30"/>
      <c r="L330" s="32">
        <f t="shared" si="41"/>
        <v>1</v>
      </c>
      <c r="M330" s="13"/>
      <c r="N330" s="13"/>
      <c r="O330" s="13"/>
      <c r="P330" s="13"/>
      <c r="Q330" s="13"/>
      <c r="R330" s="12"/>
      <c r="S330" s="12"/>
      <c r="T330" s="12"/>
      <c r="U330" s="12"/>
      <c r="V330" s="1"/>
      <c r="W330" s="1"/>
      <c r="X330" s="1"/>
      <c r="Y330" s="1"/>
    </row>
    <row r="331" spans="1:26" s="2" customFormat="1" ht="13.5" thickBot="1">
      <c r="A331" s="62" t="s">
        <v>74</v>
      </c>
      <c r="B331" s="63">
        <v>20</v>
      </c>
      <c r="C331" s="63">
        <v>1</v>
      </c>
      <c r="D331" s="64">
        <v>1</v>
      </c>
      <c r="E331" s="64">
        <v>1</v>
      </c>
      <c r="F331" s="31">
        <v>2.2000000000000002</v>
      </c>
      <c r="G331" s="64">
        <f>+F331*E331</f>
        <v>2.2000000000000002</v>
      </c>
      <c r="H331" s="64">
        <f>+G331/$G$2</f>
        <v>0.18333333333333335</v>
      </c>
      <c r="I331" s="30">
        <v>0</v>
      </c>
      <c r="J331" s="30"/>
      <c r="K331" s="30"/>
      <c r="L331" s="32">
        <f t="shared" si="41"/>
        <v>0</v>
      </c>
      <c r="M331" s="13"/>
      <c r="N331" s="13"/>
      <c r="O331" s="13"/>
      <c r="P331" s="13"/>
      <c r="Q331" s="13"/>
      <c r="R331" s="12"/>
      <c r="S331" s="12"/>
      <c r="T331" s="12"/>
      <c r="U331" s="12"/>
      <c r="V331" s="1"/>
      <c r="W331" s="1"/>
      <c r="X331" s="1"/>
      <c r="Y331" s="1"/>
    </row>
    <row r="332" spans="1:26" s="71" customFormat="1">
      <c r="A332" s="71" t="s">
        <v>92</v>
      </c>
      <c r="B332" s="72"/>
      <c r="C332" s="72">
        <v>1</v>
      </c>
      <c r="D332" s="73">
        <v>1</v>
      </c>
      <c r="E332" s="73">
        <v>1</v>
      </c>
      <c r="F332" s="73">
        <v>2.2000000000000002</v>
      </c>
      <c r="G332" s="73">
        <f>+F332*E332</f>
        <v>2.2000000000000002</v>
      </c>
      <c r="H332" s="73">
        <f>+G332/$G$2</f>
        <v>0.18333333333333335</v>
      </c>
      <c r="I332" s="30">
        <v>1</v>
      </c>
      <c r="J332" s="30"/>
      <c r="K332" s="30"/>
      <c r="L332" s="32">
        <f t="shared" si="41"/>
        <v>1</v>
      </c>
      <c r="M332" s="74"/>
      <c r="N332" s="74"/>
      <c r="O332" s="74"/>
      <c r="P332" s="74"/>
      <c r="Q332" s="74"/>
    </row>
    <row r="333" spans="1:26" s="2" customFormat="1"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13"/>
      <c r="N333" s="13"/>
      <c r="O333" s="13"/>
      <c r="P333" s="13"/>
      <c r="Q333" s="13"/>
      <c r="R333" s="12"/>
      <c r="S333" s="12"/>
      <c r="T333" s="12"/>
      <c r="U333" s="12"/>
      <c r="V333" s="1"/>
      <c r="W333" s="1"/>
      <c r="X333" s="1"/>
      <c r="Y333" s="1"/>
    </row>
    <row r="334" spans="1:26" s="2" customFormat="1"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13"/>
      <c r="N334" s="13"/>
      <c r="O334" s="13"/>
      <c r="P334" s="13"/>
      <c r="Q334" s="13"/>
      <c r="R334" s="12"/>
      <c r="S334" s="12"/>
      <c r="T334" s="12"/>
      <c r="U334" s="12"/>
      <c r="V334" s="1"/>
      <c r="W334" s="1"/>
      <c r="X334" s="1"/>
      <c r="Y334" s="1"/>
    </row>
    <row r="335" spans="1:26" s="2" customFormat="1"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13"/>
      <c r="N335" s="13"/>
      <c r="O335" s="13"/>
      <c r="P335" s="13"/>
      <c r="Q335" s="13"/>
      <c r="R335" s="12"/>
      <c r="S335" s="12"/>
      <c r="T335" s="12"/>
      <c r="U335" s="12"/>
      <c r="V335" s="1"/>
      <c r="W335" s="1"/>
      <c r="X335" s="1"/>
      <c r="Y335" s="1"/>
    </row>
    <row r="336" spans="1:26" ht="13.5" thickBot="1">
      <c r="P336" s="12">
        <f>SUM(P324:P335)</f>
        <v>9.3000000000000007</v>
      </c>
    </row>
    <row r="337" spans="1:13" ht="18.75" thickBot="1">
      <c r="B337" s="22">
        <v>20</v>
      </c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1">
        <v>19</v>
      </c>
    </row>
    <row r="338" spans="1:13" ht="13.5" thickBot="1"/>
    <row r="339" spans="1:13" ht="13.5" thickBot="1">
      <c r="A339" s="2" t="s">
        <v>111</v>
      </c>
      <c r="B339" s="29">
        <v>25</v>
      </c>
      <c r="C339" s="30">
        <v>1</v>
      </c>
      <c r="D339" s="30">
        <v>1</v>
      </c>
      <c r="E339" s="30">
        <f>+C339*D339</f>
        <v>1</v>
      </c>
      <c r="F339" s="31">
        <v>3</v>
      </c>
      <c r="G339" s="30">
        <f>+F339*E339</f>
        <v>3</v>
      </c>
      <c r="H339" s="30">
        <f>+G339/$G$2</f>
        <v>0.25</v>
      </c>
      <c r="I339" s="30">
        <v>1</v>
      </c>
      <c r="J339" s="30"/>
      <c r="K339" s="30"/>
      <c r="L339" s="32">
        <f>I339</f>
        <v>1</v>
      </c>
      <c r="M339" s="20">
        <f>SUM(L339:L341)</f>
        <v>3</v>
      </c>
    </row>
    <row r="340" spans="1:13" s="78" customFormat="1">
      <c r="A340" s="71" t="s">
        <v>111</v>
      </c>
      <c r="B340" s="76">
        <v>25</v>
      </c>
      <c r="C340" s="73">
        <v>1</v>
      </c>
      <c r="D340" s="73">
        <v>1</v>
      </c>
      <c r="E340" s="73">
        <v>4</v>
      </c>
      <c r="F340" s="73">
        <v>6</v>
      </c>
      <c r="G340" s="73">
        <f>+F340*E340</f>
        <v>24</v>
      </c>
      <c r="H340" s="73">
        <f>+G340/$G$2</f>
        <v>2</v>
      </c>
      <c r="I340" s="73">
        <v>2</v>
      </c>
      <c r="J340" s="30"/>
      <c r="K340" s="30"/>
      <c r="L340" s="77">
        <v>2</v>
      </c>
    </row>
  </sheetData>
  <mergeCells count="10">
    <mergeCell ref="I2:I3"/>
    <mergeCell ref="J2:J3"/>
    <mergeCell ref="K2:K3"/>
    <mergeCell ref="L2:L3"/>
    <mergeCell ref="B2:B3"/>
    <mergeCell ref="C2:C3"/>
    <mergeCell ref="D2:D3"/>
    <mergeCell ref="E2:E3"/>
    <mergeCell ref="F2:F3"/>
    <mergeCell ref="H2:H3"/>
  </mergeCells>
  <phoneticPr fontId="1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adm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keywords/>
  <dc:description/>
  <cp:lastModifiedBy/>
  <cp:revision/>
  <dcterms:created xsi:type="dcterms:W3CDTF">2009-04-15T18:15:51Z</dcterms:created>
  <dcterms:modified xsi:type="dcterms:W3CDTF">2026-04-26T19:56:26Z</dcterms:modified>
  <cp:category/>
  <cp:contentStatus/>
</cp:coreProperties>
</file>